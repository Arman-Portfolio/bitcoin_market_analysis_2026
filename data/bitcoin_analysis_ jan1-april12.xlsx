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91D9C943-A820-459A-A83A-335C900F9E82}" xr6:coauthVersionLast="47" xr6:coauthVersionMax="47" xr10:uidLastSave="{00000000-0000-0000-0000-000000000000}"/>
  <bookViews>
    <workbookView xWindow="-109" yWindow="-109" windowWidth="26301" windowHeight="14169" xr2:uid="{110292EE-724F-4F2B-8BFD-8D7FF2456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N2" i="1"/>
  <c r="L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<sst xmlns="http://schemas.openxmlformats.org/spreadsheetml/2006/main" count="14" uniqueCount="14">
  <si>
    <t>Date</t>
  </si>
  <si>
    <t>Open</t>
  </si>
  <si>
    <t>High</t>
  </si>
  <si>
    <t>Low</t>
  </si>
  <si>
    <t>Close</t>
  </si>
  <si>
    <t>Volume</t>
  </si>
  <si>
    <t>Daily Return %</t>
  </si>
  <si>
    <t>Volatility</t>
  </si>
  <si>
    <t>7-Day Moving Average</t>
  </si>
  <si>
    <t>Crash Flag</t>
  </si>
  <si>
    <t>Volume Signal</t>
  </si>
  <si>
    <t>Signal</t>
  </si>
  <si>
    <t>Market Type</t>
  </si>
  <si>
    <t>rend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</si>
</sst>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4F6C-B67F-4CFD-B367-70D5648BB328}">
  <dimension ref="A1:N104"/>
  <sheetViews>
    <sheetView tabSelected="1" zoomScaleNormal="100" workbookViewId="0">
      <selection activeCell="C7" sqref="C7"/>
    </sheetView>
  </sheetViews>
  <sheetFormatPr defaultRowHeight="14.3" x14ac:dyDescent="0.25"/>
  <cols>
    <col min="1" max="1" width="13.75" customWidth="1"/>
    <col min="2" max="2" width="14.75" customWidth="1"/>
    <col min="3" max="3" width="12.125" customWidth="1"/>
    <col min="4" max="4" width="14.375" customWidth="1"/>
    <col min="5" max="5" width="13.125" customWidth="1"/>
    <col min="6" max="6" width="16.375" customWidth="1"/>
    <col min="7" max="7" width="16.875" customWidth="1"/>
    <col min="8" max="8" width="10.75" customWidth="1"/>
    <col min="9" max="9" width="18.875" bestFit="1" customWidth="1"/>
    <col min="10" max="10" width="9.375" bestFit="1" customWidth="1"/>
    <col min="11" max="11" width="12.375" bestFit="1" customWidth="1"/>
    <col min="13" max="13" width="11.875" customWidth="1"/>
    <col min="14" max="14" width="24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46124</v>
      </c>
      <c r="B2" s="4">
        <v>73057.16</v>
      </c>
      <c r="C2" s="4">
        <v>73103.039999999994</v>
      </c>
      <c r="D2" s="4">
        <v>70906.41</v>
      </c>
      <c r="E2" s="4">
        <v>70984.570000000007</v>
      </c>
      <c r="F2" s="4">
        <v>28991418888</v>
      </c>
      <c r="G2" s="4">
        <f>(E2-E3)/E3*100</f>
        <v>-2.8330992835873889</v>
      </c>
      <c r="H2" s="4">
        <f>(C2-D2)</f>
        <v>2196.6299999999901</v>
      </c>
      <c r="I2" s="4">
        <f>AVERAGE(E2:E8)</f>
        <v>71529.944285714286</v>
      </c>
      <c r="J2" s="4" t="str">
        <f>IF(G2&lt;-5,"Crash","Normal")</f>
        <v>Normal</v>
      </c>
      <c r="K2" s="4" t="str">
        <f>IF(F2&gt;AVERAGE(F:F),"High Volume","Low Volume")</f>
        <v>Low Volume</v>
      </c>
      <c r="L2" s="4" t="str">
        <f>IF(AND(E2&gt;I2,F2&gt;AVERAGE(F:F)),"BUY",
IF(AND(E2&lt;I2,F2&gt;AVERAGE(F:F)),"SELL","HOLD"))</f>
        <v>HOLD</v>
      </c>
      <c r="M2" s="4" t="str">
        <f>IF(AND(G2&lt;-5,F2&gt;AVERAGE(F:F)),"REAL CRASH",
IF(G2&lt;-5,"FAKE DIP","NORMAL"))</f>
        <v>NORMAL</v>
      </c>
      <c r="N2" s="4" t="str">
        <f>IF(AND(E2&gt;I2,G2&gt;0),"STRONG UPTREND",
IF(AND(E2&lt;I2,G2&lt;0),"STRONG DOWNTREND","SIDEWAYS"))</f>
        <v>STRONG DOWNTREND</v>
      </c>
    </row>
    <row r="3" spans="1:14" x14ac:dyDescent="0.25">
      <c r="A3" s="3">
        <v>46123</v>
      </c>
      <c r="B3" s="4">
        <v>72976.13</v>
      </c>
      <c r="C3" s="4">
        <v>73784.23</v>
      </c>
      <c r="D3" s="4">
        <v>72556.34</v>
      </c>
      <c r="E3" s="4">
        <v>73054.27</v>
      </c>
      <c r="F3" s="4">
        <v>23287073965</v>
      </c>
      <c r="G3" s="4">
        <f t="shared" ref="G3:G66" si="0">(E3-E4)/E4*100</f>
        <v>0.10307067576242931</v>
      </c>
      <c r="H3" s="4">
        <f t="shared" ref="H3:H66" si="1">(C3-D3)</f>
        <v>1227.8899999999994</v>
      </c>
      <c r="I3" s="4">
        <f t="shared" ref="I3:I66" si="2">AVERAGE(E3:E9)</f>
        <v>71243.848571428578</v>
      </c>
      <c r="J3" s="4" t="str">
        <f t="shared" ref="J3:J66" si="3">IF(G3&lt;-5,"Crash","Normal")</f>
        <v>Normal</v>
      </c>
      <c r="K3" s="4" t="str">
        <f t="shared" ref="K3:K66" si="4">IF(F3&gt;AVERAGE(F:F),"High Volume","Low Volume")</f>
        <v>Low Volume</v>
      </c>
      <c r="L3" s="4" t="str">
        <f t="shared" ref="L3:L66" si="5">IF(AND(E3&gt;I3,F3&gt;AVERAGE(F:F)),"BUY",
IF(AND(E3&lt;I3,F3&gt;AVERAGE(F:F)),"SELL","HOLD"))</f>
        <v>HOLD</v>
      </c>
      <c r="M3" s="4" t="str">
        <f t="shared" ref="M3:M66" si="6">IF(AND(G3&lt;-5,F3&gt;AVERAGE(F:F)),"REAL CRASH",
IF(G3&lt;-5,"FAKE DIP","NORMAL"))</f>
        <v>NORMAL</v>
      </c>
      <c r="N3" s="4" t="str">
        <f t="shared" ref="N3:N66" si="7">IF(AND(E3&gt;I3,G3&gt;0),"STRONG UPTREND",
IF(AND(E3&lt;I3,G3&lt;0),"STRONG DOWNTREND","SIDEWAYS"))</f>
        <v>STRONG UPTREND</v>
      </c>
    </row>
    <row r="4" spans="1:14" x14ac:dyDescent="0.25">
      <c r="A4" s="3">
        <v>46122</v>
      </c>
      <c r="B4" s="4">
        <v>71774.37</v>
      </c>
      <c r="C4" s="4">
        <v>73440.12</v>
      </c>
      <c r="D4" s="4">
        <v>71434.83</v>
      </c>
      <c r="E4" s="4">
        <v>72979.05</v>
      </c>
      <c r="F4" s="4">
        <v>37722595732</v>
      </c>
      <c r="G4" s="4">
        <f t="shared" si="0"/>
        <v>1.6876921038298094</v>
      </c>
      <c r="H4" s="4">
        <f t="shared" si="1"/>
        <v>2005.2899999999936</v>
      </c>
      <c r="I4" s="4">
        <f t="shared" si="2"/>
        <v>70420.455714285723</v>
      </c>
      <c r="J4" s="4" t="str">
        <f t="shared" si="3"/>
        <v>Normal</v>
      </c>
      <c r="K4" s="4" t="str">
        <f t="shared" si="4"/>
        <v>Low Volume</v>
      </c>
      <c r="L4" s="4" t="str">
        <f t="shared" si="5"/>
        <v>HOLD</v>
      </c>
      <c r="M4" s="4" t="str">
        <f t="shared" si="6"/>
        <v>NORMAL</v>
      </c>
      <c r="N4" s="4" t="str">
        <f t="shared" si="7"/>
        <v>STRONG UPTREND</v>
      </c>
    </row>
    <row r="5" spans="1:14" x14ac:dyDescent="0.25">
      <c r="A5" s="3">
        <v>46121</v>
      </c>
      <c r="B5" s="4">
        <v>71120.570000000007</v>
      </c>
      <c r="C5" s="4">
        <v>73107.27</v>
      </c>
      <c r="D5" s="4">
        <v>70486.36</v>
      </c>
      <c r="E5" s="4">
        <v>71767.83</v>
      </c>
      <c r="F5" s="4">
        <v>38799581473</v>
      </c>
      <c r="G5" s="4">
        <f t="shared" si="0"/>
        <v>0.9061298566321967</v>
      </c>
      <c r="H5" s="4">
        <f t="shared" si="1"/>
        <v>2620.9100000000035</v>
      </c>
      <c r="I5" s="4">
        <f t="shared" si="2"/>
        <v>69556.462857142862</v>
      </c>
      <c r="J5" s="4" t="str">
        <f t="shared" si="3"/>
        <v>Normal</v>
      </c>
      <c r="K5" s="4" t="str">
        <f t="shared" si="4"/>
        <v>Low Volume</v>
      </c>
      <c r="L5" s="4" t="str">
        <f t="shared" si="5"/>
        <v>HOLD</v>
      </c>
      <c r="M5" s="4" t="str">
        <f t="shared" si="6"/>
        <v>NORMAL</v>
      </c>
      <c r="N5" s="4" t="str">
        <f t="shared" si="7"/>
        <v>STRONG UPTREND</v>
      </c>
    </row>
    <row r="6" spans="1:14" x14ac:dyDescent="0.25">
      <c r="A6" s="3">
        <v>46120</v>
      </c>
      <c r="B6" s="4">
        <v>71950.149999999994</v>
      </c>
      <c r="C6" s="4">
        <v>72825.19</v>
      </c>
      <c r="D6" s="4">
        <v>70707.47</v>
      </c>
      <c r="E6" s="4">
        <v>71123.360000000001</v>
      </c>
      <c r="F6" s="4">
        <v>42444631703</v>
      </c>
      <c r="G6" s="4">
        <f t="shared" si="0"/>
        <v>-1.1361301738793153</v>
      </c>
      <c r="H6" s="4">
        <f t="shared" si="1"/>
        <v>2117.7200000000012</v>
      </c>
      <c r="I6" s="4">
        <f t="shared" si="2"/>
        <v>68859.425714285724</v>
      </c>
      <c r="J6" s="4" t="str">
        <f t="shared" si="3"/>
        <v>Normal</v>
      </c>
      <c r="K6" s="4" t="str">
        <f t="shared" si="4"/>
        <v>Low Volume</v>
      </c>
      <c r="L6" s="4" t="str">
        <f t="shared" si="5"/>
        <v>HOLD</v>
      </c>
      <c r="M6" s="4" t="str">
        <f t="shared" si="6"/>
        <v>NORMAL</v>
      </c>
      <c r="N6" s="4" t="str">
        <f t="shared" si="7"/>
        <v>SIDEWAYS</v>
      </c>
    </row>
    <row r="7" spans="1:14" x14ac:dyDescent="0.25">
      <c r="A7" s="3">
        <v>46119</v>
      </c>
      <c r="B7" s="4">
        <v>68859.38</v>
      </c>
      <c r="C7" s="4">
        <v>72732.429999999993</v>
      </c>
      <c r="D7" s="4">
        <v>67740.509999999995</v>
      </c>
      <c r="E7" s="4">
        <v>71940.7</v>
      </c>
      <c r="F7" s="4">
        <v>44650511480</v>
      </c>
      <c r="G7" s="4">
        <f t="shared" si="0"/>
        <v>4.4741179291322615</v>
      </c>
      <c r="H7" s="4">
        <f t="shared" si="1"/>
        <v>4991.9199999999983</v>
      </c>
      <c r="I7" s="4">
        <f t="shared" si="2"/>
        <v>68424.452857142867</v>
      </c>
      <c r="J7" s="4" t="str">
        <f t="shared" si="3"/>
        <v>Normal</v>
      </c>
      <c r="K7" s="4" t="str">
        <f t="shared" si="4"/>
        <v>High Volume</v>
      </c>
      <c r="L7" s="4" t="str">
        <f t="shared" si="5"/>
        <v>BUY</v>
      </c>
      <c r="M7" s="4" t="str">
        <f t="shared" si="6"/>
        <v>NORMAL</v>
      </c>
      <c r="N7" s="4" t="str">
        <f t="shared" si="7"/>
        <v>STRONG UPTREND</v>
      </c>
    </row>
    <row r="8" spans="1:14" x14ac:dyDescent="0.25">
      <c r="A8" s="3">
        <v>46118</v>
      </c>
      <c r="B8" s="4">
        <v>68982.91</v>
      </c>
      <c r="C8" s="4">
        <v>70305.42</v>
      </c>
      <c r="D8" s="4">
        <v>68347.08</v>
      </c>
      <c r="E8" s="4">
        <v>68859.83</v>
      </c>
      <c r="F8" s="4">
        <v>39542143229</v>
      </c>
      <c r="G8" s="4">
        <f t="shared" si="0"/>
        <v>-0.176959463279487</v>
      </c>
      <c r="H8" s="4">
        <f t="shared" si="1"/>
        <v>1958.3399999999965</v>
      </c>
      <c r="I8" s="4">
        <f t="shared" si="2"/>
        <v>67894.825714285704</v>
      </c>
      <c r="J8" s="4" t="str">
        <f t="shared" si="3"/>
        <v>Normal</v>
      </c>
      <c r="K8" s="4" t="str">
        <f t="shared" si="4"/>
        <v>Low Volume</v>
      </c>
      <c r="L8" s="4" t="str">
        <f t="shared" si="5"/>
        <v>HOLD</v>
      </c>
      <c r="M8" s="4" t="str">
        <f t="shared" si="6"/>
        <v>NORMAL</v>
      </c>
      <c r="N8" s="4" t="str">
        <f t="shared" si="7"/>
        <v>SIDEWAYS</v>
      </c>
    </row>
    <row r="9" spans="1:14" x14ac:dyDescent="0.25">
      <c r="A9" s="3">
        <v>46117</v>
      </c>
      <c r="B9" s="4">
        <v>67291.199999999997</v>
      </c>
      <c r="C9" s="4">
        <v>69087.66</v>
      </c>
      <c r="D9" s="4">
        <v>66610.63</v>
      </c>
      <c r="E9" s="4">
        <v>68981.899999999994</v>
      </c>
      <c r="F9" s="4">
        <v>22972648674</v>
      </c>
      <c r="G9" s="4">
        <f t="shared" si="0"/>
        <v>2.513548713845561</v>
      </c>
      <c r="H9" s="4">
        <f t="shared" si="1"/>
        <v>2477.0299999999988</v>
      </c>
      <c r="I9" s="4">
        <f t="shared" si="2"/>
        <v>67585.057142857142</v>
      </c>
      <c r="J9" s="4" t="str">
        <f t="shared" si="3"/>
        <v>Normal</v>
      </c>
      <c r="K9" s="4" t="str">
        <f t="shared" si="4"/>
        <v>Low Volume</v>
      </c>
      <c r="L9" s="4" t="str">
        <f t="shared" si="5"/>
        <v>HOLD</v>
      </c>
      <c r="M9" s="4" t="str">
        <f t="shared" si="6"/>
        <v>NORMAL</v>
      </c>
      <c r="N9" s="4" t="str">
        <f t="shared" si="7"/>
        <v>STRONG UPTREND</v>
      </c>
    </row>
    <row r="10" spans="1:14" x14ac:dyDescent="0.25">
      <c r="A10" s="3">
        <v>46116</v>
      </c>
      <c r="B10" s="4">
        <v>66938.649999999994</v>
      </c>
      <c r="C10" s="4">
        <v>67515.02</v>
      </c>
      <c r="D10" s="4">
        <v>66769.64</v>
      </c>
      <c r="E10" s="4">
        <v>67290.52</v>
      </c>
      <c r="F10" s="4">
        <v>15878814963</v>
      </c>
      <c r="G10" s="4">
        <f t="shared" si="0"/>
        <v>0.53699998954148098</v>
      </c>
      <c r="H10" s="4">
        <f t="shared" si="1"/>
        <v>745.38000000000466</v>
      </c>
      <c r="I10" s="4">
        <f t="shared" si="2"/>
        <v>67152.631428571432</v>
      </c>
      <c r="J10" s="4" t="str">
        <f t="shared" si="3"/>
        <v>Normal</v>
      </c>
      <c r="K10" s="4" t="str">
        <f t="shared" si="4"/>
        <v>Low Volume</v>
      </c>
      <c r="L10" s="4" t="str">
        <f t="shared" si="5"/>
        <v>HOLD</v>
      </c>
      <c r="M10" s="4" t="str">
        <f t="shared" si="6"/>
        <v>NORMAL</v>
      </c>
      <c r="N10" s="4" t="str">
        <f t="shared" si="7"/>
        <v>STRONG UPTREND</v>
      </c>
    </row>
    <row r="11" spans="1:14" x14ac:dyDescent="0.25">
      <c r="A11" s="3">
        <v>46115</v>
      </c>
      <c r="B11" s="4">
        <v>66889.02</v>
      </c>
      <c r="C11" s="4">
        <v>67296.23</v>
      </c>
      <c r="D11" s="4">
        <v>66281.539999999994</v>
      </c>
      <c r="E11" s="4">
        <v>66931.100000000006</v>
      </c>
      <c r="F11" s="4">
        <v>22815543346</v>
      </c>
      <c r="G11" s="4">
        <f t="shared" si="0"/>
        <v>6.3583359608373802E-2</v>
      </c>
      <c r="H11" s="4">
        <f t="shared" si="1"/>
        <v>1014.6900000000023</v>
      </c>
      <c r="I11" s="4">
        <f t="shared" si="2"/>
        <v>67013.942857142858</v>
      </c>
      <c r="J11" s="4" t="str">
        <f t="shared" si="3"/>
        <v>Normal</v>
      </c>
      <c r="K11" s="4" t="str">
        <f t="shared" si="4"/>
        <v>Low Volume</v>
      </c>
      <c r="L11" s="4" t="str">
        <f t="shared" si="5"/>
        <v>HOLD</v>
      </c>
      <c r="M11" s="4" t="str">
        <f t="shared" si="6"/>
        <v>NORMAL</v>
      </c>
      <c r="N11" s="4" t="str">
        <f t="shared" si="7"/>
        <v>SIDEWAYS</v>
      </c>
    </row>
    <row r="12" spans="1:14" x14ac:dyDescent="0.25">
      <c r="A12" s="3">
        <v>46114</v>
      </c>
      <c r="B12" s="4">
        <v>68077.899999999994</v>
      </c>
      <c r="C12" s="4">
        <v>68633.149999999994</v>
      </c>
      <c r="D12" s="4">
        <v>65725.259999999995</v>
      </c>
      <c r="E12" s="4">
        <v>66888.570000000007</v>
      </c>
      <c r="F12" s="4">
        <v>39323384518</v>
      </c>
      <c r="G12" s="4">
        <f t="shared" si="0"/>
        <v>-1.747951447262017</v>
      </c>
      <c r="H12" s="4">
        <f t="shared" si="1"/>
        <v>2907.8899999999994</v>
      </c>
      <c r="I12" s="4">
        <f t="shared" si="2"/>
        <v>66929.268571428576</v>
      </c>
      <c r="J12" s="4" t="str">
        <f t="shared" si="3"/>
        <v>Normal</v>
      </c>
      <c r="K12" s="4" t="str">
        <f t="shared" si="4"/>
        <v>Low Volume</v>
      </c>
      <c r="L12" s="4" t="str">
        <f t="shared" si="5"/>
        <v>HOLD</v>
      </c>
      <c r="M12" s="4" t="str">
        <f t="shared" si="6"/>
        <v>NORMAL</v>
      </c>
      <c r="N12" s="4" t="str">
        <f t="shared" si="7"/>
        <v>STRONG DOWNTREND</v>
      </c>
    </row>
    <row r="13" spans="1:14" x14ac:dyDescent="0.25">
      <c r="A13" s="3">
        <v>46113</v>
      </c>
      <c r="B13" s="4">
        <v>68232.89</v>
      </c>
      <c r="C13" s="4">
        <v>69230.36</v>
      </c>
      <c r="D13" s="4">
        <v>67555.360000000001</v>
      </c>
      <c r="E13" s="4">
        <v>68078.55</v>
      </c>
      <c r="F13" s="4">
        <v>36465393617</v>
      </c>
      <c r="G13" s="4">
        <f t="shared" si="0"/>
        <v>-0.22681004336444294</v>
      </c>
      <c r="H13" s="4">
        <f t="shared" si="1"/>
        <v>1675</v>
      </c>
      <c r="I13" s="4">
        <f t="shared" si="2"/>
        <v>67201.134285714288</v>
      </c>
      <c r="J13" s="4" t="str">
        <f t="shared" si="3"/>
        <v>Normal</v>
      </c>
      <c r="K13" s="4" t="str">
        <f t="shared" si="4"/>
        <v>Low Volume</v>
      </c>
      <c r="L13" s="4" t="str">
        <f t="shared" si="5"/>
        <v>HOLD</v>
      </c>
      <c r="M13" s="4" t="str">
        <f t="shared" si="6"/>
        <v>NORMAL</v>
      </c>
      <c r="N13" s="4" t="str">
        <f t="shared" si="7"/>
        <v>SIDEWAYS</v>
      </c>
    </row>
    <row r="14" spans="1:14" x14ac:dyDescent="0.25">
      <c r="A14" s="3">
        <v>46112</v>
      </c>
      <c r="B14" s="4">
        <v>66694.59</v>
      </c>
      <c r="C14" s="4">
        <v>68495.27</v>
      </c>
      <c r="D14" s="4">
        <v>65950.44</v>
      </c>
      <c r="E14" s="4">
        <v>68233.31</v>
      </c>
      <c r="F14" s="4">
        <v>42997691338</v>
      </c>
      <c r="G14" s="4">
        <f t="shared" si="0"/>
        <v>2.3119305398218222</v>
      </c>
      <c r="H14" s="4">
        <f t="shared" si="1"/>
        <v>2544.8300000000017</v>
      </c>
      <c r="I14" s="4">
        <f t="shared" si="2"/>
        <v>67662.752857142856</v>
      </c>
      <c r="J14" s="4" t="str">
        <f t="shared" si="3"/>
        <v>Normal</v>
      </c>
      <c r="K14" s="4" t="str">
        <f t="shared" si="4"/>
        <v>High Volume</v>
      </c>
      <c r="L14" s="4" t="str">
        <f t="shared" si="5"/>
        <v>BUY</v>
      </c>
      <c r="M14" s="4" t="str">
        <f t="shared" si="6"/>
        <v>NORMAL</v>
      </c>
      <c r="N14" s="4" t="str">
        <f t="shared" si="7"/>
        <v>STRONG UPTREND</v>
      </c>
    </row>
    <row r="15" spans="1:14" x14ac:dyDescent="0.25">
      <c r="A15" s="3">
        <v>46111</v>
      </c>
      <c r="B15" s="4">
        <v>65958.350000000006</v>
      </c>
      <c r="C15" s="4">
        <v>68087.289999999994</v>
      </c>
      <c r="D15" s="4">
        <v>65759.8</v>
      </c>
      <c r="E15" s="4">
        <v>66691.45</v>
      </c>
      <c r="F15" s="4">
        <v>37694994180</v>
      </c>
      <c r="G15" s="4">
        <f t="shared" si="0"/>
        <v>1.1167172972084551</v>
      </c>
      <c r="H15" s="4">
        <f t="shared" si="1"/>
        <v>2327.4899999999907</v>
      </c>
      <c r="I15" s="4">
        <f t="shared" si="2"/>
        <v>67989.11714285714</v>
      </c>
      <c r="J15" s="4" t="str">
        <f t="shared" si="3"/>
        <v>Normal</v>
      </c>
      <c r="K15" s="4" t="str">
        <f t="shared" si="4"/>
        <v>Low Volume</v>
      </c>
      <c r="L15" s="4" t="str">
        <f t="shared" si="5"/>
        <v>HOLD</v>
      </c>
      <c r="M15" s="4" t="str">
        <f t="shared" si="6"/>
        <v>NORMAL</v>
      </c>
      <c r="N15" s="4" t="str">
        <f t="shared" si="7"/>
        <v>SIDEWAYS</v>
      </c>
    </row>
    <row r="16" spans="1:14" x14ac:dyDescent="0.25">
      <c r="A16" s="3">
        <v>46110</v>
      </c>
      <c r="B16" s="4">
        <v>66319.7</v>
      </c>
      <c r="C16" s="4">
        <v>67052.95</v>
      </c>
      <c r="D16" s="4">
        <v>64971.71</v>
      </c>
      <c r="E16" s="4">
        <v>65954.92</v>
      </c>
      <c r="F16" s="4">
        <v>21645889785</v>
      </c>
      <c r="G16" s="4">
        <f t="shared" si="0"/>
        <v>-0.55003264490038239</v>
      </c>
      <c r="H16" s="4">
        <f t="shared" si="1"/>
        <v>2081.239999999998</v>
      </c>
      <c r="I16" s="4">
        <f t="shared" si="2"/>
        <v>68592.46142857142</v>
      </c>
      <c r="J16" s="4" t="str">
        <f t="shared" si="3"/>
        <v>Normal</v>
      </c>
      <c r="K16" s="4" t="str">
        <f t="shared" si="4"/>
        <v>Low Volume</v>
      </c>
      <c r="L16" s="4" t="str">
        <f t="shared" si="5"/>
        <v>HOLD</v>
      </c>
      <c r="M16" s="4" t="str">
        <f t="shared" si="6"/>
        <v>NORMAL</v>
      </c>
      <c r="N16" s="4" t="str">
        <f t="shared" si="7"/>
        <v>STRONG DOWNTREND</v>
      </c>
    </row>
    <row r="17" spans="1:14" x14ac:dyDescent="0.25">
      <c r="A17" s="3">
        <v>46109</v>
      </c>
      <c r="B17" s="4">
        <v>66338.5</v>
      </c>
      <c r="C17" s="4">
        <v>67232.86</v>
      </c>
      <c r="D17" s="4">
        <v>65906.740000000005</v>
      </c>
      <c r="E17" s="4">
        <v>66319.7</v>
      </c>
      <c r="F17" s="4">
        <v>20924883455</v>
      </c>
      <c r="G17" s="4">
        <f t="shared" si="0"/>
        <v>-2.8158661697809874E-2</v>
      </c>
      <c r="H17" s="4">
        <f t="shared" si="1"/>
        <v>1326.1199999999953</v>
      </c>
      <c r="I17" s="4">
        <f t="shared" si="2"/>
        <v>69301.024285714288</v>
      </c>
      <c r="J17" s="4" t="str">
        <f t="shared" si="3"/>
        <v>Normal</v>
      </c>
      <c r="K17" s="4" t="str">
        <f t="shared" si="4"/>
        <v>Low Volume</v>
      </c>
      <c r="L17" s="4" t="str">
        <f t="shared" si="5"/>
        <v>HOLD</v>
      </c>
      <c r="M17" s="4" t="str">
        <f t="shared" si="6"/>
        <v>NORMAL</v>
      </c>
      <c r="N17" s="4" t="str">
        <f t="shared" si="7"/>
        <v>STRONG DOWNTREND</v>
      </c>
    </row>
    <row r="18" spans="1:14" x14ac:dyDescent="0.25">
      <c r="A18" s="3">
        <v>46108</v>
      </c>
      <c r="B18" s="4">
        <v>68790.84</v>
      </c>
      <c r="C18" s="4">
        <v>69117.53</v>
      </c>
      <c r="D18" s="4">
        <v>65532.57</v>
      </c>
      <c r="E18" s="4">
        <v>66338.38</v>
      </c>
      <c r="F18" s="4">
        <v>46483453594</v>
      </c>
      <c r="G18" s="4">
        <f t="shared" si="0"/>
        <v>-3.5662042024589327</v>
      </c>
      <c r="H18" s="4">
        <f t="shared" si="1"/>
        <v>3584.9599999999991</v>
      </c>
      <c r="I18" s="4">
        <f t="shared" si="2"/>
        <v>69518.954285714281</v>
      </c>
      <c r="J18" s="4" t="str">
        <f t="shared" si="3"/>
        <v>Normal</v>
      </c>
      <c r="K18" s="4" t="str">
        <f t="shared" si="4"/>
        <v>High Volume</v>
      </c>
      <c r="L18" s="4" t="str">
        <f t="shared" si="5"/>
        <v>SELL</v>
      </c>
      <c r="M18" s="4" t="str">
        <f t="shared" si="6"/>
        <v>NORMAL</v>
      </c>
      <c r="N18" s="4" t="str">
        <f t="shared" si="7"/>
        <v>STRONG DOWNTREND</v>
      </c>
    </row>
    <row r="19" spans="1:14" x14ac:dyDescent="0.25">
      <c r="A19" s="3">
        <v>46107</v>
      </c>
      <c r="B19" s="4">
        <v>71310.12</v>
      </c>
      <c r="C19" s="4">
        <v>71410.39</v>
      </c>
      <c r="D19" s="4">
        <v>68118.350000000006</v>
      </c>
      <c r="E19" s="4">
        <v>68791.63</v>
      </c>
      <c r="F19" s="4">
        <v>38962070215</v>
      </c>
      <c r="G19" s="4">
        <f t="shared" si="0"/>
        <v>-3.5314180868064842</v>
      </c>
      <c r="H19" s="4">
        <f t="shared" si="1"/>
        <v>3292.0399999999936</v>
      </c>
      <c r="I19" s="4">
        <f t="shared" si="2"/>
        <v>69857.974285714285</v>
      </c>
      <c r="J19" s="4" t="str">
        <f t="shared" si="3"/>
        <v>Normal</v>
      </c>
      <c r="K19" s="4" t="str">
        <f t="shared" si="4"/>
        <v>Low Volume</v>
      </c>
      <c r="L19" s="4" t="str">
        <f t="shared" si="5"/>
        <v>HOLD</v>
      </c>
      <c r="M19" s="4" t="str">
        <f t="shared" si="6"/>
        <v>NORMAL</v>
      </c>
      <c r="N19" s="4" t="str">
        <f t="shared" si="7"/>
        <v>STRONG DOWNTREND</v>
      </c>
    </row>
    <row r="20" spans="1:14" x14ac:dyDescent="0.25">
      <c r="A20" s="3">
        <v>46106</v>
      </c>
      <c r="B20" s="4">
        <v>70520.05</v>
      </c>
      <c r="C20" s="4">
        <v>71985.740000000005</v>
      </c>
      <c r="D20" s="4">
        <v>70383.59</v>
      </c>
      <c r="E20" s="4">
        <v>71309.88</v>
      </c>
      <c r="F20" s="4">
        <v>35409791747</v>
      </c>
      <c r="G20" s="4">
        <f t="shared" si="0"/>
        <v>1.1231480932631877</v>
      </c>
      <c r="H20" s="4">
        <f t="shared" si="1"/>
        <v>1602.1500000000087</v>
      </c>
      <c r="I20" s="4">
        <f t="shared" si="2"/>
        <v>70105.254285714283</v>
      </c>
      <c r="J20" s="4" t="str">
        <f t="shared" si="3"/>
        <v>Normal</v>
      </c>
      <c r="K20" s="4" t="str">
        <f t="shared" si="4"/>
        <v>Low Volume</v>
      </c>
      <c r="L20" s="4" t="str">
        <f t="shared" si="5"/>
        <v>HOLD</v>
      </c>
      <c r="M20" s="4" t="str">
        <f t="shared" si="6"/>
        <v>NORMAL</v>
      </c>
      <c r="N20" s="4" t="str">
        <f t="shared" si="7"/>
        <v>STRONG UPTREND</v>
      </c>
    </row>
    <row r="21" spans="1:14" x14ac:dyDescent="0.25">
      <c r="A21" s="3">
        <v>46105</v>
      </c>
      <c r="B21" s="4">
        <v>70912.67</v>
      </c>
      <c r="C21" s="4">
        <v>71371.3</v>
      </c>
      <c r="D21" s="4">
        <v>68920.7</v>
      </c>
      <c r="E21" s="4">
        <v>70517.86</v>
      </c>
      <c r="F21" s="4">
        <v>40181522399</v>
      </c>
      <c r="G21" s="4">
        <f t="shared" si="0"/>
        <v>-0.55982624798243974</v>
      </c>
      <c r="H21" s="4">
        <f t="shared" si="1"/>
        <v>2450.6000000000058</v>
      </c>
      <c r="I21" s="4">
        <f t="shared" si="2"/>
        <v>69905.67</v>
      </c>
      <c r="J21" s="4" t="str">
        <f t="shared" si="3"/>
        <v>Normal</v>
      </c>
      <c r="K21" s="4" t="str">
        <f t="shared" si="4"/>
        <v>Low Volume</v>
      </c>
      <c r="L21" s="4" t="str">
        <f t="shared" si="5"/>
        <v>HOLD</v>
      </c>
      <c r="M21" s="4" t="str">
        <f t="shared" si="6"/>
        <v>NORMAL</v>
      </c>
      <c r="N21" s="4" t="str">
        <f t="shared" si="7"/>
        <v>SIDEWAYS</v>
      </c>
    </row>
    <row r="22" spans="1:14" x14ac:dyDescent="0.25">
      <c r="A22" s="3">
        <v>46104</v>
      </c>
      <c r="B22" s="4">
        <v>67843</v>
      </c>
      <c r="C22" s="4">
        <v>71782.259999999995</v>
      </c>
      <c r="D22" s="4">
        <v>67458.84</v>
      </c>
      <c r="E22" s="4">
        <v>70914.86</v>
      </c>
      <c r="F22" s="4">
        <v>51508669357</v>
      </c>
      <c r="G22" s="4">
        <f t="shared" si="0"/>
        <v>0</v>
      </c>
      <c r="H22" s="4">
        <f t="shared" si="1"/>
        <v>4323.4199999999983</v>
      </c>
      <c r="I22" s="4">
        <f t="shared" si="2"/>
        <v>70009.63</v>
      </c>
      <c r="J22" s="4" t="str">
        <f t="shared" si="3"/>
        <v>Normal</v>
      </c>
      <c r="K22" s="4" t="str">
        <f t="shared" si="4"/>
        <v>High Volume</v>
      </c>
      <c r="L22" s="4" t="str">
        <f t="shared" si="5"/>
        <v>BUY</v>
      </c>
      <c r="M22" s="4" t="str">
        <f t="shared" si="6"/>
        <v>NORMAL</v>
      </c>
      <c r="N22" s="4" t="str">
        <f t="shared" si="7"/>
        <v>SIDEWAYS</v>
      </c>
    </row>
    <row r="23" spans="1:14" x14ac:dyDescent="0.25">
      <c r="A23" s="3">
        <v>46104</v>
      </c>
      <c r="B23" s="4">
        <v>67843</v>
      </c>
      <c r="C23" s="4">
        <v>71782.259999999995</v>
      </c>
      <c r="D23" s="4">
        <v>67458.84</v>
      </c>
      <c r="E23" s="4">
        <v>70914.86</v>
      </c>
      <c r="F23" s="4">
        <v>51508669357</v>
      </c>
      <c r="G23" s="4">
        <f t="shared" si="0"/>
        <v>4.5244903803820407</v>
      </c>
      <c r="H23" s="4">
        <f t="shared" si="1"/>
        <v>4323.4199999999983</v>
      </c>
      <c r="I23" s="4">
        <f t="shared" si="2"/>
        <v>70439.290000000008</v>
      </c>
      <c r="J23" s="4" t="str">
        <f t="shared" si="3"/>
        <v>Normal</v>
      </c>
      <c r="K23" s="4" t="str">
        <f t="shared" si="4"/>
        <v>High Volume</v>
      </c>
      <c r="L23" s="4" t="str">
        <f t="shared" si="5"/>
        <v>BUY</v>
      </c>
      <c r="M23" s="4" t="str">
        <f t="shared" si="6"/>
        <v>NORMAL</v>
      </c>
      <c r="N23" s="4" t="str">
        <f t="shared" si="7"/>
        <v>STRONG UPTREND</v>
      </c>
    </row>
    <row r="24" spans="1:14" x14ac:dyDescent="0.25">
      <c r="A24" s="3">
        <v>46103</v>
      </c>
      <c r="B24" s="4">
        <v>68737.45</v>
      </c>
      <c r="C24" s="4">
        <v>69561.77</v>
      </c>
      <c r="D24" s="4">
        <v>67372.88</v>
      </c>
      <c r="E24" s="4">
        <v>67845.210000000006</v>
      </c>
      <c r="F24" s="4">
        <v>30108051508</v>
      </c>
      <c r="G24" s="4">
        <f t="shared" si="0"/>
        <v>-1.2607929500031401</v>
      </c>
      <c r="H24" s="4">
        <f t="shared" si="1"/>
        <v>2188.8899999999994</v>
      </c>
      <c r="I24" s="4">
        <f t="shared" si="2"/>
        <v>71003.037142857138</v>
      </c>
      <c r="J24" s="4" t="str">
        <f t="shared" si="3"/>
        <v>Normal</v>
      </c>
      <c r="K24" s="4" t="str">
        <f t="shared" si="4"/>
        <v>Low Volume</v>
      </c>
      <c r="L24" s="4" t="str">
        <f t="shared" si="5"/>
        <v>HOLD</v>
      </c>
      <c r="M24" s="4" t="str">
        <f t="shared" si="6"/>
        <v>NORMAL</v>
      </c>
      <c r="N24" s="4" t="str">
        <f t="shared" si="7"/>
        <v>STRONG DOWNTREND</v>
      </c>
    </row>
    <row r="25" spans="1:14" x14ac:dyDescent="0.25">
      <c r="A25" s="3">
        <v>46102</v>
      </c>
      <c r="B25" s="4">
        <v>70522.47</v>
      </c>
      <c r="C25" s="4">
        <v>71051.27</v>
      </c>
      <c r="D25" s="4">
        <v>68602.91</v>
      </c>
      <c r="E25" s="4">
        <v>68711.520000000004</v>
      </c>
      <c r="F25" s="4">
        <v>21109354718</v>
      </c>
      <c r="G25" s="4">
        <f t="shared" si="0"/>
        <v>-2.5680707415878978</v>
      </c>
      <c r="H25" s="4">
        <f t="shared" si="1"/>
        <v>2448.3600000000006</v>
      </c>
      <c r="I25" s="4">
        <f t="shared" si="2"/>
        <v>71709.422857142854</v>
      </c>
      <c r="J25" s="4" t="str">
        <f t="shared" si="3"/>
        <v>Normal</v>
      </c>
      <c r="K25" s="4" t="str">
        <f t="shared" si="4"/>
        <v>Low Volume</v>
      </c>
      <c r="L25" s="4" t="str">
        <f t="shared" si="5"/>
        <v>HOLD</v>
      </c>
      <c r="M25" s="4" t="str">
        <f t="shared" si="6"/>
        <v>NORMAL</v>
      </c>
      <c r="N25" s="4" t="str">
        <f t="shared" si="7"/>
        <v>STRONG DOWNTREND</v>
      </c>
    </row>
    <row r="26" spans="1:14" x14ac:dyDescent="0.25">
      <c r="A26" s="3">
        <v>46101</v>
      </c>
      <c r="B26" s="4">
        <v>69911.53</v>
      </c>
      <c r="C26" s="4">
        <v>71346.8</v>
      </c>
      <c r="D26" s="4">
        <v>69398.880000000005</v>
      </c>
      <c r="E26" s="4">
        <v>70522.59</v>
      </c>
      <c r="F26" s="4">
        <v>38299078407</v>
      </c>
      <c r="G26" s="4">
        <f t="shared" si="0"/>
        <v>0.87222953053368768</v>
      </c>
      <c r="H26" s="4">
        <f t="shared" si="1"/>
        <v>1947.9199999999983</v>
      </c>
      <c r="I26" s="4">
        <f t="shared" si="2"/>
        <v>72067.010000000009</v>
      </c>
      <c r="J26" s="4" t="str">
        <f t="shared" si="3"/>
        <v>Normal</v>
      </c>
      <c r="K26" s="4" t="str">
        <f t="shared" si="4"/>
        <v>Low Volume</v>
      </c>
      <c r="L26" s="4" t="str">
        <f t="shared" si="5"/>
        <v>HOLD</v>
      </c>
      <c r="M26" s="4" t="str">
        <f t="shared" si="6"/>
        <v>NORMAL</v>
      </c>
      <c r="N26" s="4" t="str">
        <f t="shared" si="7"/>
        <v>SIDEWAYS</v>
      </c>
    </row>
    <row r="27" spans="1:14" x14ac:dyDescent="0.25">
      <c r="A27" s="3">
        <v>46100</v>
      </c>
      <c r="B27" s="4">
        <v>71250.350000000006</v>
      </c>
      <c r="C27" s="4">
        <v>71598.84</v>
      </c>
      <c r="D27" s="4">
        <v>68805.52</v>
      </c>
      <c r="E27" s="4">
        <v>69912.789999999994</v>
      </c>
      <c r="F27" s="4">
        <v>44631433398</v>
      </c>
      <c r="G27" s="4">
        <f t="shared" si="0"/>
        <v>-1.8706985050862217</v>
      </c>
      <c r="H27" s="4">
        <f t="shared" si="1"/>
        <v>2793.3199999999924</v>
      </c>
      <c r="I27" s="4">
        <f t="shared" si="2"/>
        <v>72130.678571428565</v>
      </c>
      <c r="J27" s="4" t="str">
        <f t="shared" si="3"/>
        <v>Normal</v>
      </c>
      <c r="K27" s="4" t="str">
        <f t="shared" si="4"/>
        <v>High Volume</v>
      </c>
      <c r="L27" s="4" t="str">
        <f t="shared" si="5"/>
        <v>SELL</v>
      </c>
      <c r="M27" s="4" t="str">
        <f t="shared" si="6"/>
        <v>NORMAL</v>
      </c>
      <c r="N27" s="4" t="str">
        <f t="shared" si="7"/>
        <v>STRONG DOWNTREND</v>
      </c>
    </row>
    <row r="28" spans="1:14" x14ac:dyDescent="0.25">
      <c r="A28" s="3">
        <v>46099</v>
      </c>
      <c r="B28" s="4">
        <v>73936.850000000006</v>
      </c>
      <c r="C28" s="4">
        <v>74658.98</v>
      </c>
      <c r="D28" s="4">
        <v>70503.86</v>
      </c>
      <c r="E28" s="4">
        <v>71245.58</v>
      </c>
      <c r="F28" s="4">
        <v>46229011155</v>
      </c>
      <c r="G28" s="4">
        <f t="shared" si="0"/>
        <v>-3.6212259112518872</v>
      </c>
      <c r="H28" s="4">
        <f t="shared" si="1"/>
        <v>4155.1199999999953</v>
      </c>
      <c r="I28" s="4">
        <f t="shared" si="2"/>
        <v>72213.631428571432</v>
      </c>
      <c r="J28" s="4" t="str">
        <f t="shared" si="3"/>
        <v>Normal</v>
      </c>
      <c r="K28" s="4" t="str">
        <f t="shared" si="4"/>
        <v>High Volume</v>
      </c>
      <c r="L28" s="4" t="str">
        <f t="shared" si="5"/>
        <v>SELL</v>
      </c>
      <c r="M28" s="4" t="str">
        <f t="shared" si="6"/>
        <v>NORMAL</v>
      </c>
      <c r="N28" s="4" t="str">
        <f t="shared" si="7"/>
        <v>STRONG DOWNTREND</v>
      </c>
    </row>
    <row r="29" spans="1:14" x14ac:dyDescent="0.25">
      <c r="A29" s="3">
        <v>46098</v>
      </c>
      <c r="B29" s="4">
        <v>74855.3</v>
      </c>
      <c r="C29" s="4">
        <v>75988.399999999994</v>
      </c>
      <c r="D29" s="4">
        <v>73444.23</v>
      </c>
      <c r="E29" s="4">
        <v>73922.48</v>
      </c>
      <c r="F29" s="4">
        <v>49500721728</v>
      </c>
      <c r="G29" s="4">
        <f t="shared" si="0"/>
        <v>-1.2538022088644456</v>
      </c>
      <c r="H29" s="4">
        <f t="shared" si="1"/>
        <v>2544.1699999999983</v>
      </c>
      <c r="I29" s="4">
        <f t="shared" si="2"/>
        <v>72064.960000000006</v>
      </c>
      <c r="J29" s="4" t="str">
        <f t="shared" si="3"/>
        <v>Normal</v>
      </c>
      <c r="K29" s="4" t="str">
        <f t="shared" si="4"/>
        <v>High Volume</v>
      </c>
      <c r="L29" s="4" t="str">
        <f t="shared" si="5"/>
        <v>BUY</v>
      </c>
      <c r="M29" s="4" t="str">
        <f t="shared" si="6"/>
        <v>NORMAL</v>
      </c>
      <c r="N29" s="4" t="str">
        <f t="shared" si="7"/>
        <v>SIDEWAYS</v>
      </c>
    </row>
    <row r="30" spans="1:14" x14ac:dyDescent="0.25">
      <c r="A30" s="3">
        <v>46097</v>
      </c>
      <c r="B30" s="4">
        <v>72798.17</v>
      </c>
      <c r="C30" s="4">
        <v>74901.86</v>
      </c>
      <c r="D30" s="4">
        <v>72300.63</v>
      </c>
      <c r="E30" s="4">
        <v>74861.09</v>
      </c>
      <c r="F30" s="4">
        <v>55572438409</v>
      </c>
      <c r="G30" s="4">
        <f t="shared" si="0"/>
        <v>2.8454218448683242</v>
      </c>
      <c r="H30" s="4">
        <f t="shared" si="1"/>
        <v>2601.2299999999959</v>
      </c>
      <c r="I30" s="4">
        <f t="shared" si="2"/>
        <v>71494.165714285715</v>
      </c>
      <c r="J30" s="4" t="str">
        <f t="shared" si="3"/>
        <v>Normal</v>
      </c>
      <c r="K30" s="4" t="str">
        <f t="shared" si="4"/>
        <v>High Volume</v>
      </c>
      <c r="L30" s="4" t="str">
        <f t="shared" si="5"/>
        <v>BUY</v>
      </c>
      <c r="M30" s="4" t="str">
        <f t="shared" si="6"/>
        <v>NORMAL</v>
      </c>
      <c r="N30" s="4" t="str">
        <f t="shared" si="7"/>
        <v>STRONG UPTREND</v>
      </c>
    </row>
    <row r="31" spans="1:14" x14ac:dyDescent="0.25">
      <c r="A31" s="3">
        <v>46096</v>
      </c>
      <c r="B31" s="4">
        <v>71213.679999999993</v>
      </c>
      <c r="C31" s="4">
        <v>73173.009999999995</v>
      </c>
      <c r="D31" s="4">
        <v>70882.42</v>
      </c>
      <c r="E31" s="4">
        <v>72789.91</v>
      </c>
      <c r="F31" s="4">
        <v>27991268669</v>
      </c>
      <c r="G31" s="4">
        <f t="shared" si="0"/>
        <v>2.2120173902469178</v>
      </c>
      <c r="H31" s="4">
        <f t="shared" si="1"/>
        <v>2290.5899999999965</v>
      </c>
      <c r="I31" s="4">
        <f t="shared" si="2"/>
        <v>70571.492857142861</v>
      </c>
      <c r="J31" s="4" t="str">
        <f t="shared" si="3"/>
        <v>Normal</v>
      </c>
      <c r="K31" s="4" t="str">
        <f t="shared" si="4"/>
        <v>Low Volume</v>
      </c>
      <c r="L31" s="4" t="str">
        <f t="shared" si="5"/>
        <v>HOLD</v>
      </c>
      <c r="M31" s="4" t="str">
        <f t="shared" si="6"/>
        <v>NORMAL</v>
      </c>
      <c r="N31" s="4" t="str">
        <f t="shared" si="7"/>
        <v>STRONG UPTREND</v>
      </c>
    </row>
    <row r="32" spans="1:14" x14ac:dyDescent="0.25">
      <c r="A32" s="3">
        <v>46095</v>
      </c>
      <c r="B32" s="4">
        <v>70965.38</v>
      </c>
      <c r="C32" s="4">
        <v>71291.199999999997</v>
      </c>
      <c r="D32" s="4">
        <v>70339.59</v>
      </c>
      <c r="E32" s="4">
        <v>71214.63</v>
      </c>
      <c r="F32" s="4">
        <v>22283546496</v>
      </c>
      <c r="G32" s="4">
        <f t="shared" si="0"/>
        <v>0.34714105331861767</v>
      </c>
      <c r="H32" s="4">
        <f t="shared" si="1"/>
        <v>951.61000000000058</v>
      </c>
      <c r="I32" s="4">
        <f t="shared" si="2"/>
        <v>69597.188571428575</v>
      </c>
      <c r="J32" s="4" t="str">
        <f t="shared" si="3"/>
        <v>Normal</v>
      </c>
      <c r="K32" s="4" t="str">
        <f t="shared" si="4"/>
        <v>Low Volume</v>
      </c>
      <c r="L32" s="4" t="str">
        <f t="shared" si="5"/>
        <v>HOLD</v>
      </c>
      <c r="M32" s="4" t="str">
        <f t="shared" si="6"/>
        <v>NORMAL</v>
      </c>
      <c r="N32" s="4" t="str">
        <f t="shared" si="7"/>
        <v>STRONG UPTREND</v>
      </c>
    </row>
    <row r="33" spans="1:14" x14ac:dyDescent="0.25">
      <c r="A33" s="3">
        <v>46094</v>
      </c>
      <c r="B33" s="4">
        <v>70497.05</v>
      </c>
      <c r="C33" s="4">
        <v>73927.33</v>
      </c>
      <c r="D33" s="4">
        <v>70410.73</v>
      </c>
      <c r="E33" s="4">
        <v>70968.27</v>
      </c>
      <c r="F33" s="4">
        <v>61167226505</v>
      </c>
      <c r="G33" s="4">
        <f t="shared" si="0"/>
        <v>0.67355184438385862</v>
      </c>
      <c r="H33" s="4">
        <f t="shared" si="1"/>
        <v>3516.6000000000058</v>
      </c>
      <c r="I33" s="4">
        <f t="shared" si="2"/>
        <v>69034.040000000008</v>
      </c>
      <c r="J33" s="4" t="str">
        <f t="shared" si="3"/>
        <v>Normal</v>
      </c>
      <c r="K33" s="4" t="str">
        <f t="shared" si="4"/>
        <v>High Volume</v>
      </c>
      <c r="L33" s="4" t="str">
        <f t="shared" si="5"/>
        <v>BUY</v>
      </c>
      <c r="M33" s="4" t="str">
        <f t="shared" si="6"/>
        <v>NORMAL</v>
      </c>
      <c r="N33" s="4" t="str">
        <f t="shared" si="7"/>
        <v>STRONG UPTREND</v>
      </c>
    </row>
    <row r="34" spans="1:14" x14ac:dyDescent="0.25">
      <c r="A34" s="3">
        <v>46093</v>
      </c>
      <c r="B34" s="4">
        <v>70209.77</v>
      </c>
      <c r="C34" s="4">
        <v>70775.83</v>
      </c>
      <c r="D34" s="4">
        <v>69230.16</v>
      </c>
      <c r="E34" s="4">
        <v>70493.460000000006</v>
      </c>
      <c r="F34" s="4">
        <v>40871848129</v>
      </c>
      <c r="G34" s="4">
        <f t="shared" si="0"/>
        <v>0.4110540463853819</v>
      </c>
      <c r="H34" s="4">
        <f t="shared" si="1"/>
        <v>1545.6699999999983</v>
      </c>
      <c r="I34" s="4">
        <f t="shared" si="2"/>
        <v>68629.5</v>
      </c>
      <c r="J34" s="4" t="str">
        <f t="shared" si="3"/>
        <v>Normal</v>
      </c>
      <c r="K34" s="4" t="str">
        <f t="shared" si="4"/>
        <v>Low Volume</v>
      </c>
      <c r="L34" s="4" t="str">
        <f t="shared" si="5"/>
        <v>HOLD</v>
      </c>
      <c r="M34" s="4" t="str">
        <f t="shared" si="6"/>
        <v>NORMAL</v>
      </c>
      <c r="N34" s="4" t="str">
        <f t="shared" si="7"/>
        <v>STRONG UPTREND</v>
      </c>
    </row>
    <row r="35" spans="1:14" x14ac:dyDescent="0.25">
      <c r="A35" s="3">
        <v>46092</v>
      </c>
      <c r="B35" s="4">
        <v>69931.25</v>
      </c>
      <c r="C35" s="4">
        <v>71337.66</v>
      </c>
      <c r="D35" s="4">
        <v>68998.87</v>
      </c>
      <c r="E35" s="4">
        <v>70204.88</v>
      </c>
      <c r="F35" s="4">
        <v>45236859848</v>
      </c>
      <c r="G35" s="4">
        <f t="shared" si="0"/>
        <v>0.39750070502176615</v>
      </c>
      <c r="H35" s="4">
        <f t="shared" si="1"/>
        <v>2338.7900000000081</v>
      </c>
      <c r="I35" s="4">
        <f t="shared" si="2"/>
        <v>68679.167142857128</v>
      </c>
      <c r="J35" s="4" t="str">
        <f t="shared" si="3"/>
        <v>Normal</v>
      </c>
      <c r="K35" s="4" t="str">
        <f t="shared" si="4"/>
        <v>High Volume</v>
      </c>
      <c r="L35" s="4" t="str">
        <f t="shared" si="5"/>
        <v>BUY</v>
      </c>
      <c r="M35" s="4" t="str">
        <f t="shared" si="6"/>
        <v>NORMAL</v>
      </c>
      <c r="N35" s="4" t="str">
        <f t="shared" si="7"/>
        <v>STRONG UPTREND</v>
      </c>
    </row>
    <row r="36" spans="1:14" x14ac:dyDescent="0.25">
      <c r="A36" s="3">
        <v>46091</v>
      </c>
      <c r="B36" s="4">
        <v>68402.720000000001</v>
      </c>
      <c r="C36" s="4">
        <v>71770.899999999994</v>
      </c>
      <c r="D36" s="4">
        <v>68402.720000000001</v>
      </c>
      <c r="E36" s="4">
        <v>69926.92</v>
      </c>
      <c r="F36" s="4">
        <v>54003996096</v>
      </c>
      <c r="G36" s="4">
        <f t="shared" si="0"/>
        <v>2.2287820979328403</v>
      </c>
      <c r="H36" s="4">
        <f t="shared" si="1"/>
        <v>3368.179999999993</v>
      </c>
      <c r="I36" s="4">
        <f t="shared" si="2"/>
        <v>69037.124285714279</v>
      </c>
      <c r="J36" s="4" t="str">
        <f t="shared" si="3"/>
        <v>Normal</v>
      </c>
      <c r="K36" s="4" t="str">
        <f t="shared" si="4"/>
        <v>High Volume</v>
      </c>
      <c r="L36" s="4" t="str">
        <f t="shared" si="5"/>
        <v>BUY</v>
      </c>
      <c r="M36" s="4" t="str">
        <f t="shared" si="6"/>
        <v>NORMAL</v>
      </c>
      <c r="N36" s="4" t="str">
        <f t="shared" si="7"/>
        <v>STRONG UPTREND</v>
      </c>
    </row>
    <row r="37" spans="1:14" x14ac:dyDescent="0.25">
      <c r="A37" s="3">
        <v>46090</v>
      </c>
      <c r="B37" s="4">
        <v>65969.59</v>
      </c>
      <c r="C37" s="4">
        <v>69474.95</v>
      </c>
      <c r="D37" s="4">
        <v>65858.009999999995</v>
      </c>
      <c r="E37" s="4">
        <v>68402.38</v>
      </c>
      <c r="F37" s="4">
        <v>49499875378</v>
      </c>
      <c r="G37" s="4">
        <f t="shared" si="0"/>
        <v>3.6874459790528418</v>
      </c>
      <c r="H37" s="4">
        <f t="shared" si="1"/>
        <v>3616.9400000000023</v>
      </c>
      <c r="I37" s="4">
        <f t="shared" si="2"/>
        <v>68803.8</v>
      </c>
      <c r="J37" s="4" t="str">
        <f t="shared" si="3"/>
        <v>Normal</v>
      </c>
      <c r="K37" s="4" t="str">
        <f t="shared" si="4"/>
        <v>High Volume</v>
      </c>
      <c r="L37" s="4" t="str">
        <f t="shared" si="5"/>
        <v>SELL</v>
      </c>
      <c r="M37" s="4" t="str">
        <f t="shared" si="6"/>
        <v>NORMAL</v>
      </c>
      <c r="N37" s="4" t="str">
        <f t="shared" si="7"/>
        <v>SIDEWAYS</v>
      </c>
    </row>
    <row r="38" spans="1:14" x14ac:dyDescent="0.25">
      <c r="A38" s="3">
        <v>46089</v>
      </c>
      <c r="B38" s="4">
        <v>67272.5</v>
      </c>
      <c r="C38" s="4">
        <v>68177.789999999994</v>
      </c>
      <c r="D38" s="4">
        <v>65639.199999999997</v>
      </c>
      <c r="E38" s="4">
        <v>65969.78</v>
      </c>
      <c r="F38" s="4">
        <v>33195080116</v>
      </c>
      <c r="G38" s="4">
        <f t="shared" si="0"/>
        <v>-1.9366134111976332</v>
      </c>
      <c r="H38" s="4">
        <f t="shared" si="1"/>
        <v>2538.5899999999965</v>
      </c>
      <c r="I38" s="4">
        <f t="shared" si="2"/>
        <v>68857.15285714285</v>
      </c>
      <c r="J38" s="4" t="str">
        <f t="shared" si="3"/>
        <v>Normal</v>
      </c>
      <c r="K38" s="4" t="str">
        <f t="shared" si="4"/>
        <v>Low Volume</v>
      </c>
      <c r="L38" s="4" t="str">
        <f t="shared" si="5"/>
        <v>HOLD</v>
      </c>
      <c r="M38" s="4" t="str">
        <f t="shared" si="6"/>
        <v>NORMAL</v>
      </c>
      <c r="N38" s="4" t="str">
        <f t="shared" si="7"/>
        <v>STRONG DOWNTREND</v>
      </c>
    </row>
    <row r="39" spans="1:14" x14ac:dyDescent="0.25">
      <c r="A39" s="3">
        <v>46088</v>
      </c>
      <c r="B39" s="4">
        <v>68136.69</v>
      </c>
      <c r="C39" s="4">
        <v>68515.16</v>
      </c>
      <c r="D39" s="4">
        <v>66969.259999999995</v>
      </c>
      <c r="E39" s="4">
        <v>67272.59</v>
      </c>
      <c r="F39" s="4">
        <v>23258701211</v>
      </c>
      <c r="G39" s="4">
        <f t="shared" si="0"/>
        <v>-1.2678962476640763</v>
      </c>
      <c r="H39" s="4">
        <f t="shared" si="1"/>
        <v>1545.9000000000087</v>
      </c>
      <c r="I39" s="4">
        <f t="shared" si="2"/>
        <v>68824.055714285714</v>
      </c>
      <c r="J39" s="4" t="str">
        <f t="shared" si="3"/>
        <v>Normal</v>
      </c>
      <c r="K39" s="4" t="str">
        <f t="shared" si="4"/>
        <v>Low Volume</v>
      </c>
      <c r="L39" s="4" t="str">
        <f t="shared" si="5"/>
        <v>HOLD</v>
      </c>
      <c r="M39" s="4" t="str">
        <f t="shared" si="6"/>
        <v>NORMAL</v>
      </c>
      <c r="N39" s="4" t="str">
        <f t="shared" si="7"/>
        <v>STRONG DOWNTREND</v>
      </c>
    </row>
    <row r="40" spans="1:14" x14ac:dyDescent="0.25">
      <c r="A40" s="3">
        <v>46087</v>
      </c>
      <c r="B40" s="4">
        <v>70842.16</v>
      </c>
      <c r="C40" s="4">
        <v>71378.570000000007</v>
      </c>
      <c r="D40" s="4">
        <v>67757.820000000007</v>
      </c>
      <c r="E40" s="4">
        <v>68136.490000000005</v>
      </c>
      <c r="F40" s="4">
        <v>43776962871</v>
      </c>
      <c r="G40" s="4">
        <f t="shared" si="0"/>
        <v>-3.8178950561629934</v>
      </c>
      <c r="H40" s="4">
        <f t="shared" si="1"/>
        <v>3620.75</v>
      </c>
      <c r="I40" s="4">
        <f t="shared" si="2"/>
        <v>68784.522857142845</v>
      </c>
      <c r="J40" s="4" t="str">
        <f t="shared" si="3"/>
        <v>Normal</v>
      </c>
      <c r="K40" s="4" t="str">
        <f t="shared" si="4"/>
        <v>High Volume</v>
      </c>
      <c r="L40" s="4" t="str">
        <f t="shared" si="5"/>
        <v>SELL</v>
      </c>
      <c r="M40" s="4" t="str">
        <f t="shared" si="6"/>
        <v>NORMAL</v>
      </c>
      <c r="N40" s="4" t="str">
        <f t="shared" si="7"/>
        <v>STRONG DOWNTREND</v>
      </c>
    </row>
    <row r="41" spans="1:14" x14ac:dyDescent="0.25">
      <c r="A41" s="3">
        <v>46086</v>
      </c>
      <c r="B41" s="4">
        <v>72712.66</v>
      </c>
      <c r="C41" s="4">
        <v>73555.789999999994</v>
      </c>
      <c r="D41" s="4">
        <v>70654.880000000005</v>
      </c>
      <c r="E41" s="4">
        <v>70841.13</v>
      </c>
      <c r="F41" s="4">
        <v>51172841727</v>
      </c>
      <c r="G41" s="4">
        <f t="shared" si="0"/>
        <v>-2.5710838780271001</v>
      </c>
      <c r="H41" s="4">
        <f t="shared" si="1"/>
        <v>2900.9099999999889</v>
      </c>
      <c r="I41" s="4">
        <f t="shared" si="2"/>
        <v>68462.424285714296</v>
      </c>
      <c r="J41" s="4" t="str">
        <f t="shared" si="3"/>
        <v>Normal</v>
      </c>
      <c r="K41" s="4" t="str">
        <f t="shared" si="4"/>
        <v>High Volume</v>
      </c>
      <c r="L41" s="4" t="str">
        <f t="shared" si="5"/>
        <v>BUY</v>
      </c>
      <c r="M41" s="4" t="str">
        <f t="shared" si="6"/>
        <v>NORMAL</v>
      </c>
      <c r="N41" s="4" t="str">
        <f t="shared" si="7"/>
        <v>SIDEWAYS</v>
      </c>
    </row>
    <row r="42" spans="1:14" x14ac:dyDescent="0.25">
      <c r="A42" s="3">
        <v>46085</v>
      </c>
      <c r="B42" s="4">
        <v>68290.559999999998</v>
      </c>
      <c r="C42" s="4">
        <v>74051.8</v>
      </c>
      <c r="D42" s="4">
        <v>67437.41</v>
      </c>
      <c r="E42" s="4">
        <v>72710.58</v>
      </c>
      <c r="F42" s="4">
        <v>75073101274</v>
      </c>
      <c r="G42" s="4">
        <f t="shared" si="0"/>
        <v>6.4675559147885755</v>
      </c>
      <c r="H42" s="4">
        <f t="shared" si="1"/>
        <v>6614.3899999999994</v>
      </c>
      <c r="I42" s="4">
        <f t="shared" si="2"/>
        <v>67978.515714285706</v>
      </c>
      <c r="J42" s="4" t="str">
        <f t="shared" si="3"/>
        <v>Normal</v>
      </c>
      <c r="K42" s="4" t="str">
        <f t="shared" si="4"/>
        <v>High Volume</v>
      </c>
      <c r="L42" s="4" t="str">
        <f t="shared" si="5"/>
        <v>BUY</v>
      </c>
      <c r="M42" s="4" t="str">
        <f t="shared" si="6"/>
        <v>NORMAL</v>
      </c>
      <c r="N42" s="4" t="str">
        <f t="shared" si="7"/>
        <v>STRONG UPTREND</v>
      </c>
    </row>
    <row r="43" spans="1:14" x14ac:dyDescent="0.25">
      <c r="A43" s="3">
        <v>46084</v>
      </c>
      <c r="B43" s="4">
        <v>68785.08</v>
      </c>
      <c r="C43" s="4">
        <v>69232.89</v>
      </c>
      <c r="D43" s="4">
        <v>66237.62</v>
      </c>
      <c r="E43" s="4">
        <v>68293.649999999994</v>
      </c>
      <c r="F43" s="4">
        <v>47947999049</v>
      </c>
      <c r="G43" s="4">
        <f t="shared" si="0"/>
        <v>-0.70111819773948503</v>
      </c>
      <c r="H43" s="4">
        <f t="shared" si="1"/>
        <v>2995.2700000000041</v>
      </c>
      <c r="I43" s="4">
        <f t="shared" si="2"/>
        <v>67299.88</v>
      </c>
      <c r="J43" s="4" t="str">
        <f t="shared" si="3"/>
        <v>Normal</v>
      </c>
      <c r="K43" s="4" t="str">
        <f t="shared" si="4"/>
        <v>High Volume</v>
      </c>
      <c r="L43" s="4" t="str">
        <f t="shared" si="5"/>
        <v>BUY</v>
      </c>
      <c r="M43" s="4" t="str">
        <f t="shared" si="6"/>
        <v>NORMAL</v>
      </c>
      <c r="N43" s="4" t="str">
        <f t="shared" si="7"/>
        <v>SIDEWAYS</v>
      </c>
    </row>
    <row r="44" spans="1:14" x14ac:dyDescent="0.25">
      <c r="A44" s="3">
        <v>46083</v>
      </c>
      <c r="B44" s="4">
        <v>65734.080000000002</v>
      </c>
      <c r="C44" s="4">
        <v>70044</v>
      </c>
      <c r="D44" s="4">
        <v>65303.14</v>
      </c>
      <c r="E44" s="4">
        <v>68775.850000000006</v>
      </c>
      <c r="F44" s="4">
        <v>56698092052</v>
      </c>
      <c r="G44" s="4">
        <f t="shared" si="0"/>
        <v>4.6209884374510368</v>
      </c>
      <c r="H44" s="4">
        <f t="shared" si="1"/>
        <v>4740.8600000000006</v>
      </c>
      <c r="I44" s="4">
        <f t="shared" si="2"/>
        <v>66697.935714285719</v>
      </c>
      <c r="J44" s="4" t="str">
        <f t="shared" si="3"/>
        <v>Normal</v>
      </c>
      <c r="K44" s="4" t="str">
        <f t="shared" si="4"/>
        <v>High Volume</v>
      </c>
      <c r="L44" s="4" t="str">
        <f t="shared" si="5"/>
        <v>BUY</v>
      </c>
      <c r="M44" s="4" t="str">
        <f t="shared" si="6"/>
        <v>NORMAL</v>
      </c>
      <c r="N44" s="4" t="str">
        <f t="shared" si="7"/>
        <v>STRONG UPTREND</v>
      </c>
    </row>
    <row r="45" spans="1:14" x14ac:dyDescent="0.25">
      <c r="A45" s="3">
        <v>46082</v>
      </c>
      <c r="B45" s="4">
        <v>67005.88</v>
      </c>
      <c r="C45" s="4">
        <v>68162.820000000007</v>
      </c>
      <c r="D45" s="4">
        <v>65076.73</v>
      </c>
      <c r="E45" s="4">
        <v>65738.100000000006</v>
      </c>
      <c r="F45" s="4">
        <v>40733141929</v>
      </c>
      <c r="G45" s="4">
        <f t="shared" si="0"/>
        <v>-1.8773697359806929</v>
      </c>
      <c r="H45" s="4">
        <f t="shared" si="1"/>
        <v>3086.0900000000038</v>
      </c>
      <c r="I45" s="4">
        <f t="shared" si="2"/>
        <v>66103.777142857143</v>
      </c>
      <c r="J45" s="4" t="str">
        <f t="shared" si="3"/>
        <v>Normal</v>
      </c>
      <c r="K45" s="4" t="str">
        <f t="shared" si="4"/>
        <v>Low Volume</v>
      </c>
      <c r="L45" s="4" t="str">
        <f t="shared" si="5"/>
        <v>HOLD</v>
      </c>
      <c r="M45" s="4" t="str">
        <f t="shared" si="6"/>
        <v>NORMAL</v>
      </c>
      <c r="N45" s="4" t="str">
        <f t="shared" si="7"/>
        <v>STRONG DOWNTREND</v>
      </c>
    </row>
    <row r="46" spans="1:14" x14ac:dyDescent="0.25">
      <c r="A46" s="3">
        <v>46081</v>
      </c>
      <c r="B46" s="4">
        <v>65878.929999999993</v>
      </c>
      <c r="C46" s="4">
        <v>67714.52</v>
      </c>
      <c r="D46" s="4">
        <v>63062.22</v>
      </c>
      <c r="E46" s="4">
        <v>66995.86</v>
      </c>
      <c r="F46" s="4">
        <v>42041497112</v>
      </c>
      <c r="G46" s="4">
        <f t="shared" si="0"/>
        <v>1.6909981208770826</v>
      </c>
      <c r="H46" s="4">
        <f t="shared" si="1"/>
        <v>4652.3000000000029</v>
      </c>
      <c r="I46" s="4">
        <f t="shared" si="2"/>
        <v>66378.247142857144</v>
      </c>
      <c r="J46" s="4" t="str">
        <f t="shared" si="3"/>
        <v>Normal</v>
      </c>
      <c r="K46" s="4" t="str">
        <f t="shared" si="4"/>
        <v>Low Volume</v>
      </c>
      <c r="L46" s="4" t="str">
        <f t="shared" si="5"/>
        <v>HOLD</v>
      </c>
      <c r="M46" s="4" t="str">
        <f t="shared" si="6"/>
        <v>NORMAL</v>
      </c>
      <c r="N46" s="4" t="str">
        <f t="shared" si="7"/>
        <v>STRONG UPTREND</v>
      </c>
    </row>
    <row r="47" spans="1:14" x14ac:dyDescent="0.25">
      <c r="A47" s="3">
        <v>46080</v>
      </c>
      <c r="B47" s="4">
        <v>67456.52</v>
      </c>
      <c r="C47" s="4">
        <v>68220.41</v>
      </c>
      <c r="D47" s="4">
        <v>64946.04</v>
      </c>
      <c r="E47" s="4">
        <v>65881.8</v>
      </c>
      <c r="F47" s="4">
        <v>40283655942</v>
      </c>
      <c r="G47" s="4">
        <f t="shared" si="0"/>
        <v>-2.330440537274642</v>
      </c>
      <c r="H47" s="4">
        <f t="shared" si="1"/>
        <v>3274.3700000000026</v>
      </c>
      <c r="I47" s="4">
        <f t="shared" si="2"/>
        <v>66522.234285714294</v>
      </c>
      <c r="J47" s="4" t="str">
        <f t="shared" si="3"/>
        <v>Normal</v>
      </c>
      <c r="K47" s="4" t="str">
        <f t="shared" si="4"/>
        <v>Low Volume</v>
      </c>
      <c r="L47" s="4" t="str">
        <f t="shared" si="5"/>
        <v>HOLD</v>
      </c>
      <c r="M47" s="4" t="str">
        <f t="shared" si="6"/>
        <v>NORMAL</v>
      </c>
      <c r="N47" s="4" t="str">
        <f t="shared" si="7"/>
        <v>STRONG DOWNTREND</v>
      </c>
    </row>
    <row r="48" spans="1:14" x14ac:dyDescent="0.25">
      <c r="A48" s="3">
        <v>46079</v>
      </c>
      <c r="B48" s="4">
        <v>67954.87</v>
      </c>
      <c r="C48" s="4">
        <v>68843.350000000006</v>
      </c>
      <c r="D48" s="4">
        <v>66523.73</v>
      </c>
      <c r="E48" s="4">
        <v>67453.77</v>
      </c>
      <c r="F48" s="4">
        <v>42988597523</v>
      </c>
      <c r="G48" s="4">
        <f t="shared" si="0"/>
        <v>-0.74508391905665949</v>
      </c>
      <c r="H48" s="4">
        <f t="shared" si="1"/>
        <v>2319.6200000000099</v>
      </c>
      <c r="I48" s="4">
        <f t="shared" si="2"/>
        <v>66825.608571428587</v>
      </c>
      <c r="J48" s="4" t="str">
        <f t="shared" si="3"/>
        <v>Normal</v>
      </c>
      <c r="K48" s="4" t="str">
        <f t="shared" si="4"/>
        <v>High Volume</v>
      </c>
      <c r="L48" s="4" t="str">
        <f t="shared" si="5"/>
        <v>BUY</v>
      </c>
      <c r="M48" s="4" t="str">
        <f t="shared" si="6"/>
        <v>NORMAL</v>
      </c>
      <c r="N48" s="4" t="str">
        <f t="shared" si="7"/>
        <v>SIDEWAYS</v>
      </c>
    </row>
    <row r="49" spans="1:14" x14ac:dyDescent="0.25">
      <c r="A49" s="3">
        <v>46078</v>
      </c>
      <c r="B49" s="4">
        <v>64077.77</v>
      </c>
      <c r="C49" s="4">
        <v>69953.53</v>
      </c>
      <c r="D49" s="4">
        <v>63942.48</v>
      </c>
      <c r="E49" s="4">
        <v>67960.13</v>
      </c>
      <c r="F49" s="4">
        <v>53629234355</v>
      </c>
      <c r="G49" s="4">
        <f t="shared" si="0"/>
        <v>6.0550680055755324</v>
      </c>
      <c r="H49" s="4">
        <f t="shared" si="1"/>
        <v>6011.0499999999956</v>
      </c>
      <c r="I49" s="4">
        <f t="shared" si="2"/>
        <v>66754.715714285718</v>
      </c>
      <c r="J49" s="4" t="str">
        <f t="shared" si="3"/>
        <v>Normal</v>
      </c>
      <c r="K49" s="4" t="str">
        <f t="shared" si="4"/>
        <v>High Volume</v>
      </c>
      <c r="L49" s="4" t="str">
        <f t="shared" si="5"/>
        <v>BUY</v>
      </c>
      <c r="M49" s="4" t="str">
        <f t="shared" si="6"/>
        <v>NORMAL</v>
      </c>
      <c r="N49" s="4" t="str">
        <f t="shared" si="7"/>
        <v>STRONG UPTREND</v>
      </c>
    </row>
    <row r="50" spans="1:14" x14ac:dyDescent="0.25">
      <c r="A50" s="3">
        <v>46077</v>
      </c>
      <c r="B50" s="4">
        <v>64616.02</v>
      </c>
      <c r="C50" s="4">
        <v>64992.160000000003</v>
      </c>
      <c r="D50" s="4">
        <v>62553.19</v>
      </c>
      <c r="E50" s="4">
        <v>64080.04</v>
      </c>
      <c r="F50" s="4">
        <v>40849331086</v>
      </c>
      <c r="G50" s="4">
        <f t="shared" si="0"/>
        <v>-0.83058972024895894</v>
      </c>
      <c r="H50" s="4">
        <f t="shared" si="1"/>
        <v>2438.9700000000012</v>
      </c>
      <c r="I50" s="4">
        <f t="shared" si="2"/>
        <v>66535.457142857151</v>
      </c>
      <c r="J50" s="4" t="str">
        <f t="shared" si="3"/>
        <v>Normal</v>
      </c>
      <c r="K50" s="4" t="str">
        <f t="shared" si="4"/>
        <v>Low Volume</v>
      </c>
      <c r="L50" s="4" t="str">
        <f t="shared" si="5"/>
        <v>HOLD</v>
      </c>
      <c r="M50" s="4" t="str">
        <f t="shared" si="6"/>
        <v>NORMAL</v>
      </c>
      <c r="N50" s="4" t="str">
        <f t="shared" si="7"/>
        <v>STRONG DOWNTREND</v>
      </c>
    </row>
    <row r="51" spans="1:14" x14ac:dyDescent="0.25">
      <c r="A51" s="3">
        <v>46076</v>
      </c>
      <c r="B51" s="4">
        <v>67668.429999999993</v>
      </c>
      <c r="C51" s="4">
        <v>67668.429999999993</v>
      </c>
      <c r="D51" s="4">
        <v>63924.44</v>
      </c>
      <c r="E51" s="4">
        <v>64616.74</v>
      </c>
      <c r="F51" s="4">
        <v>50953457309</v>
      </c>
      <c r="G51" s="4">
        <f t="shared" si="0"/>
        <v>-4.4970106883907786</v>
      </c>
      <c r="H51" s="4">
        <f t="shared" si="1"/>
        <v>3743.9899999999907</v>
      </c>
      <c r="I51" s="4">
        <f t="shared" si="2"/>
        <v>67023.197142857141</v>
      </c>
      <c r="J51" s="4" t="str">
        <f t="shared" si="3"/>
        <v>Normal</v>
      </c>
      <c r="K51" s="4" t="str">
        <f t="shared" si="4"/>
        <v>High Volume</v>
      </c>
      <c r="L51" s="4" t="str">
        <f t="shared" si="5"/>
        <v>SELL</v>
      </c>
      <c r="M51" s="4" t="str">
        <f t="shared" si="6"/>
        <v>NORMAL</v>
      </c>
      <c r="N51" s="4" t="str">
        <f t="shared" si="7"/>
        <v>STRONG DOWNTREND</v>
      </c>
    </row>
    <row r="52" spans="1:14" x14ac:dyDescent="0.25">
      <c r="A52" s="3">
        <v>46075</v>
      </c>
      <c r="B52" s="4">
        <v>67998.83</v>
      </c>
      <c r="C52" s="4">
        <v>68235.23</v>
      </c>
      <c r="D52" s="4">
        <v>67185.600000000006</v>
      </c>
      <c r="E52" s="4">
        <v>67659.39</v>
      </c>
      <c r="F52" s="4">
        <v>17893536012</v>
      </c>
      <c r="G52" s="4">
        <f t="shared" si="0"/>
        <v>-0.50641310033253251</v>
      </c>
      <c r="H52" s="4">
        <f t="shared" si="1"/>
        <v>1049.6299999999901</v>
      </c>
      <c r="I52" s="4">
        <f t="shared" si="2"/>
        <v>67626.971428571429</v>
      </c>
      <c r="J52" s="4" t="str">
        <f t="shared" si="3"/>
        <v>Normal</v>
      </c>
      <c r="K52" s="4" t="str">
        <f t="shared" si="4"/>
        <v>Low Volume</v>
      </c>
      <c r="L52" s="4" t="str">
        <f t="shared" si="5"/>
        <v>HOLD</v>
      </c>
      <c r="M52" s="4" t="str">
        <f t="shared" si="6"/>
        <v>NORMAL</v>
      </c>
      <c r="N52" s="4" t="str">
        <f t="shared" si="7"/>
        <v>SIDEWAYS</v>
      </c>
    </row>
    <row r="53" spans="1:14" x14ac:dyDescent="0.25">
      <c r="A53" s="3">
        <v>46074</v>
      </c>
      <c r="B53" s="4">
        <v>68000.25</v>
      </c>
      <c r="C53" s="4">
        <v>68657.7</v>
      </c>
      <c r="D53" s="4">
        <v>67533.070000000007</v>
      </c>
      <c r="E53" s="4">
        <v>68003.77</v>
      </c>
      <c r="F53" s="4">
        <v>18357635642</v>
      </c>
      <c r="G53" s="4">
        <f t="shared" si="0"/>
        <v>-2.4262771996617022E-3</v>
      </c>
      <c r="H53" s="4">
        <f t="shared" si="1"/>
        <v>1124.6299999999901</v>
      </c>
      <c r="I53" s="4">
        <f t="shared" si="2"/>
        <v>67788.228571428583</v>
      </c>
      <c r="J53" s="4" t="str">
        <f t="shared" si="3"/>
        <v>Normal</v>
      </c>
      <c r="K53" s="4" t="str">
        <f t="shared" si="4"/>
        <v>Low Volume</v>
      </c>
      <c r="L53" s="4" t="str">
        <f t="shared" si="5"/>
        <v>HOLD</v>
      </c>
      <c r="M53" s="4" t="str">
        <f t="shared" si="6"/>
        <v>NORMAL</v>
      </c>
      <c r="N53" s="4" t="str">
        <f t="shared" si="7"/>
        <v>SIDEWAYS</v>
      </c>
    </row>
    <row r="54" spans="1:14" x14ac:dyDescent="0.25">
      <c r="A54" s="3">
        <v>46073</v>
      </c>
      <c r="B54" s="4">
        <v>66958.58</v>
      </c>
      <c r="C54" s="4">
        <v>68269.03</v>
      </c>
      <c r="D54" s="4">
        <v>66452.479999999996</v>
      </c>
      <c r="E54" s="4">
        <v>68005.42</v>
      </c>
      <c r="F54" s="4">
        <v>47507867304</v>
      </c>
      <c r="G54" s="4">
        <f t="shared" si="0"/>
        <v>1.5650221214883617</v>
      </c>
      <c r="H54" s="4">
        <f t="shared" si="1"/>
        <v>1816.5500000000029</v>
      </c>
      <c r="I54" s="4">
        <f t="shared" si="2"/>
        <v>68040.208571428579</v>
      </c>
      <c r="J54" s="4" t="str">
        <f t="shared" si="3"/>
        <v>Normal</v>
      </c>
      <c r="K54" s="4" t="str">
        <f t="shared" si="4"/>
        <v>High Volume</v>
      </c>
      <c r="L54" s="4" t="str">
        <f t="shared" si="5"/>
        <v>SELL</v>
      </c>
      <c r="M54" s="4" t="str">
        <f t="shared" si="6"/>
        <v>NORMAL</v>
      </c>
      <c r="N54" s="4" t="str">
        <f t="shared" si="7"/>
        <v>SIDEWAYS</v>
      </c>
    </row>
    <row r="55" spans="1:14" x14ac:dyDescent="0.25">
      <c r="A55" s="3">
        <v>46072</v>
      </c>
      <c r="B55" s="4">
        <v>66425.63</v>
      </c>
      <c r="C55" s="4">
        <v>67277.13</v>
      </c>
      <c r="D55" s="4">
        <v>65637.429999999993</v>
      </c>
      <c r="E55" s="4">
        <v>66957.52</v>
      </c>
      <c r="F55" s="4">
        <v>31492987019</v>
      </c>
      <c r="G55" s="4">
        <f t="shared" si="0"/>
        <v>0.8012005060720776</v>
      </c>
      <c r="H55" s="4">
        <f t="shared" si="1"/>
        <v>1639.7000000000116</v>
      </c>
      <c r="I55" s="4">
        <f t="shared" si="2"/>
        <v>68161.982857142852</v>
      </c>
      <c r="J55" s="4" t="str">
        <f t="shared" si="3"/>
        <v>Normal</v>
      </c>
      <c r="K55" s="4" t="str">
        <f t="shared" si="4"/>
        <v>Low Volume</v>
      </c>
      <c r="L55" s="4" t="str">
        <f t="shared" si="5"/>
        <v>HOLD</v>
      </c>
      <c r="M55" s="4" t="str">
        <f t="shared" si="6"/>
        <v>NORMAL</v>
      </c>
      <c r="N55" s="4" t="str">
        <f t="shared" si="7"/>
        <v>SIDEWAYS</v>
      </c>
    </row>
    <row r="56" spans="1:14" x14ac:dyDescent="0.25">
      <c r="A56" s="3">
        <v>46071</v>
      </c>
      <c r="B56" s="4">
        <v>67488.02</v>
      </c>
      <c r="C56" s="4">
        <v>68434.429999999993</v>
      </c>
      <c r="D56" s="4">
        <v>65845.899999999994</v>
      </c>
      <c r="E56" s="4">
        <v>66425.320000000007</v>
      </c>
      <c r="F56" s="4">
        <v>33094301643</v>
      </c>
      <c r="G56" s="4">
        <f t="shared" si="0"/>
        <v>-1.5836911664435773</v>
      </c>
      <c r="H56" s="4">
        <f t="shared" si="1"/>
        <v>2588.5299999999988</v>
      </c>
      <c r="I56" s="4">
        <f t="shared" si="2"/>
        <v>68056.885714285701</v>
      </c>
      <c r="J56" s="4" t="str">
        <f t="shared" si="3"/>
        <v>Normal</v>
      </c>
      <c r="K56" s="4" t="str">
        <f t="shared" si="4"/>
        <v>Low Volume</v>
      </c>
      <c r="L56" s="4" t="str">
        <f t="shared" si="5"/>
        <v>HOLD</v>
      </c>
      <c r="M56" s="4" t="str">
        <f t="shared" si="6"/>
        <v>NORMAL</v>
      </c>
      <c r="N56" s="4" t="str">
        <f t="shared" si="7"/>
        <v>STRONG DOWNTREND</v>
      </c>
    </row>
    <row r="57" spans="1:14" x14ac:dyDescent="0.25">
      <c r="A57" s="3">
        <v>46070</v>
      </c>
      <c r="B57" s="4">
        <v>68843.09</v>
      </c>
      <c r="C57" s="4">
        <v>69201.87</v>
      </c>
      <c r="D57" s="4">
        <v>66615.28</v>
      </c>
      <c r="E57" s="4">
        <v>67494.22</v>
      </c>
      <c r="F57" s="4">
        <v>34866936040</v>
      </c>
      <c r="G57" s="4">
        <f t="shared" si="0"/>
        <v>-1.9594393981914866</v>
      </c>
      <c r="H57" s="4">
        <f t="shared" si="1"/>
        <v>2586.5899999999965</v>
      </c>
      <c r="I57" s="4">
        <f t="shared" si="2"/>
        <v>68137.835714285713</v>
      </c>
      <c r="J57" s="4" t="str">
        <f t="shared" si="3"/>
        <v>Normal</v>
      </c>
      <c r="K57" s="4" t="str">
        <f t="shared" si="4"/>
        <v>Low Volume</v>
      </c>
      <c r="L57" s="4" t="str">
        <f t="shared" si="5"/>
        <v>HOLD</v>
      </c>
      <c r="M57" s="4" t="str">
        <f t="shared" si="6"/>
        <v>NORMAL</v>
      </c>
      <c r="N57" s="4" t="str">
        <f t="shared" si="7"/>
        <v>STRONG DOWNTREND</v>
      </c>
    </row>
    <row r="58" spans="1:14" x14ac:dyDescent="0.25">
      <c r="A58" s="3">
        <v>46069</v>
      </c>
      <c r="B58" s="4">
        <v>68782.399999999994</v>
      </c>
      <c r="C58" s="4">
        <v>70067.23</v>
      </c>
      <c r="D58" s="4">
        <v>67301.59</v>
      </c>
      <c r="E58" s="4">
        <v>68843.16</v>
      </c>
      <c r="F58" s="4">
        <v>33618145426</v>
      </c>
      <c r="G58" s="4">
        <f t="shared" si="0"/>
        <v>7.9911973261690944E-2</v>
      </c>
      <c r="H58" s="4">
        <f t="shared" si="1"/>
        <v>2765.6399999999994</v>
      </c>
      <c r="I58" s="4">
        <f t="shared" si="2"/>
        <v>68323.512857142865</v>
      </c>
      <c r="J58" s="4" t="str">
        <f t="shared" si="3"/>
        <v>Normal</v>
      </c>
      <c r="K58" s="4" t="str">
        <f t="shared" si="4"/>
        <v>Low Volume</v>
      </c>
      <c r="L58" s="4" t="str">
        <f t="shared" si="5"/>
        <v>HOLD</v>
      </c>
      <c r="M58" s="4" t="str">
        <f t="shared" si="6"/>
        <v>NORMAL</v>
      </c>
      <c r="N58" s="4" t="str">
        <f t="shared" si="7"/>
        <v>STRONG UPTREND</v>
      </c>
    </row>
    <row r="59" spans="1:14" x14ac:dyDescent="0.25">
      <c r="A59" s="3">
        <v>46068</v>
      </c>
      <c r="B59" s="4">
        <v>69764.95</v>
      </c>
      <c r="C59" s="4">
        <v>70939.289999999994</v>
      </c>
      <c r="D59" s="4">
        <v>68052.55</v>
      </c>
      <c r="E59" s="4">
        <v>68788.19</v>
      </c>
      <c r="F59" s="4">
        <v>40191152750</v>
      </c>
      <c r="G59" s="4">
        <f t="shared" si="0"/>
        <v>-1.4038602142569589</v>
      </c>
      <c r="H59" s="4">
        <f t="shared" si="1"/>
        <v>2886.7399999999907</v>
      </c>
      <c r="I59" s="4">
        <f t="shared" si="2"/>
        <v>68506.03</v>
      </c>
      <c r="J59" s="4" t="str">
        <f t="shared" si="3"/>
        <v>Normal</v>
      </c>
      <c r="K59" s="4" t="str">
        <f t="shared" si="4"/>
        <v>Low Volume</v>
      </c>
      <c r="L59" s="4" t="str">
        <f t="shared" si="5"/>
        <v>HOLD</v>
      </c>
      <c r="M59" s="4" t="str">
        <f t="shared" si="6"/>
        <v>NORMAL</v>
      </c>
      <c r="N59" s="4" t="str">
        <f t="shared" si="7"/>
        <v>SIDEWAYS</v>
      </c>
    </row>
    <row r="60" spans="1:14" x14ac:dyDescent="0.25">
      <c r="A60" s="3">
        <v>46067</v>
      </c>
      <c r="B60" s="4">
        <v>68856.98</v>
      </c>
      <c r="C60" s="4">
        <v>70481.16</v>
      </c>
      <c r="D60" s="4">
        <v>68706.62</v>
      </c>
      <c r="E60" s="4">
        <v>69767.63</v>
      </c>
      <c r="F60" s="4">
        <v>36012397645</v>
      </c>
      <c r="G60" s="4">
        <f t="shared" si="0"/>
        <v>1.3212584071763045</v>
      </c>
      <c r="H60" s="4">
        <f t="shared" si="1"/>
        <v>1774.5400000000081</v>
      </c>
      <c r="I60" s="4">
        <f t="shared" si="2"/>
        <v>68716.96428571429</v>
      </c>
      <c r="J60" s="4" t="str">
        <f t="shared" si="3"/>
        <v>Normal</v>
      </c>
      <c r="K60" s="4" t="str">
        <f t="shared" si="4"/>
        <v>Low Volume</v>
      </c>
      <c r="L60" s="4" t="str">
        <f t="shared" si="5"/>
        <v>HOLD</v>
      </c>
      <c r="M60" s="4" t="str">
        <f t="shared" si="6"/>
        <v>NORMAL</v>
      </c>
      <c r="N60" s="4" t="str">
        <f t="shared" si="7"/>
        <v>STRONG UPTREND</v>
      </c>
    </row>
    <row r="61" spans="1:14" x14ac:dyDescent="0.25">
      <c r="A61" s="3">
        <v>46066</v>
      </c>
      <c r="B61" s="4">
        <v>66213.38</v>
      </c>
      <c r="C61" s="4">
        <v>69382.84</v>
      </c>
      <c r="D61" s="4">
        <v>65835.78</v>
      </c>
      <c r="E61" s="4">
        <v>68857.84</v>
      </c>
      <c r="F61" s="4">
        <v>40820775886</v>
      </c>
      <c r="G61" s="4">
        <f t="shared" si="0"/>
        <v>3.9805598877953257</v>
      </c>
      <c r="H61" s="4">
        <f t="shared" si="1"/>
        <v>3547.0599999999977</v>
      </c>
      <c r="I61" s="4">
        <f t="shared" si="2"/>
        <v>68647.584285714285</v>
      </c>
      <c r="J61" s="4" t="str">
        <f t="shared" si="3"/>
        <v>Normal</v>
      </c>
      <c r="K61" s="4" t="str">
        <f t="shared" si="4"/>
        <v>Low Volume</v>
      </c>
      <c r="L61" s="4" t="str">
        <f t="shared" si="5"/>
        <v>HOLD</v>
      </c>
      <c r="M61" s="4" t="str">
        <f t="shared" si="6"/>
        <v>NORMAL</v>
      </c>
      <c r="N61" s="4" t="str">
        <f t="shared" si="7"/>
        <v>STRONG UPTREND</v>
      </c>
    </row>
    <row r="62" spans="1:14" x14ac:dyDescent="0.25">
      <c r="A62" s="3">
        <v>46065</v>
      </c>
      <c r="B62" s="4">
        <v>66992.2</v>
      </c>
      <c r="C62" s="4">
        <v>68339.490000000005</v>
      </c>
      <c r="D62" s="4">
        <v>65092.11</v>
      </c>
      <c r="E62" s="4">
        <v>66221.84</v>
      </c>
      <c r="F62" s="4">
        <v>44651071271</v>
      </c>
      <c r="G62" s="4">
        <f t="shared" si="0"/>
        <v>-1.149585539878891</v>
      </c>
      <c r="H62" s="4">
        <f t="shared" si="1"/>
        <v>3247.3800000000047</v>
      </c>
      <c r="I62" s="4">
        <f t="shared" si="2"/>
        <v>68890.091428571424</v>
      </c>
      <c r="J62" s="4" t="str">
        <f t="shared" si="3"/>
        <v>Normal</v>
      </c>
      <c r="K62" s="4" t="str">
        <f t="shared" si="4"/>
        <v>High Volume</v>
      </c>
      <c r="L62" s="4" t="str">
        <f t="shared" si="5"/>
        <v>SELL</v>
      </c>
      <c r="M62" s="4" t="str">
        <f t="shared" si="6"/>
        <v>NORMAL</v>
      </c>
      <c r="N62" s="4" t="str">
        <f t="shared" si="7"/>
        <v>STRONG DOWNTREND</v>
      </c>
    </row>
    <row r="63" spans="1:14" x14ac:dyDescent="0.25">
      <c r="A63" s="3">
        <v>46064</v>
      </c>
      <c r="B63" s="4">
        <v>68791.86</v>
      </c>
      <c r="C63" s="4">
        <v>69242.679999999993</v>
      </c>
      <c r="D63" s="4">
        <v>65757.3</v>
      </c>
      <c r="E63" s="4">
        <v>66991.97</v>
      </c>
      <c r="F63" s="4">
        <v>49671946030</v>
      </c>
      <c r="G63" s="4">
        <f t="shared" si="0"/>
        <v>-2.6194014707105175</v>
      </c>
      <c r="H63" s="4">
        <f t="shared" si="1"/>
        <v>3485.3799999999901</v>
      </c>
      <c r="I63" s="4">
        <f t="shared" si="2"/>
        <v>68387.271428571432</v>
      </c>
      <c r="J63" s="4" t="str">
        <f t="shared" si="3"/>
        <v>Normal</v>
      </c>
      <c r="K63" s="4" t="str">
        <f t="shared" si="4"/>
        <v>High Volume</v>
      </c>
      <c r="L63" s="4" t="str">
        <f t="shared" si="5"/>
        <v>SELL</v>
      </c>
      <c r="M63" s="4" t="str">
        <f t="shared" si="6"/>
        <v>NORMAL</v>
      </c>
      <c r="N63" s="4" t="str">
        <f t="shared" si="7"/>
        <v>STRONG DOWNTREND</v>
      </c>
    </row>
    <row r="64" spans="1:14" x14ac:dyDescent="0.25">
      <c r="A64" s="3">
        <v>46063</v>
      </c>
      <c r="B64" s="4">
        <v>70137.39</v>
      </c>
      <c r="C64" s="4">
        <v>70464.27</v>
      </c>
      <c r="D64" s="4">
        <v>67913.09</v>
      </c>
      <c r="E64" s="4">
        <v>68793.960000000006</v>
      </c>
      <c r="F64" s="4">
        <v>40593063077</v>
      </c>
      <c r="G64" s="4">
        <f t="shared" si="0"/>
        <v>-1.8921923001997303</v>
      </c>
      <c r="H64" s="4">
        <f t="shared" si="1"/>
        <v>2551.1800000000076</v>
      </c>
      <c r="I64" s="4">
        <f t="shared" si="2"/>
        <v>69248.375714285707</v>
      </c>
      <c r="J64" s="4" t="str">
        <f t="shared" si="3"/>
        <v>Normal</v>
      </c>
      <c r="K64" s="4" t="str">
        <f t="shared" si="4"/>
        <v>Low Volume</v>
      </c>
      <c r="L64" s="4" t="str">
        <f t="shared" si="5"/>
        <v>HOLD</v>
      </c>
      <c r="M64" s="4" t="str">
        <f t="shared" si="6"/>
        <v>NORMAL</v>
      </c>
      <c r="N64" s="4" t="str">
        <f t="shared" si="7"/>
        <v>STRONG DOWNTREND</v>
      </c>
    </row>
    <row r="65" spans="1:14" x14ac:dyDescent="0.25">
      <c r="A65" s="3">
        <v>46062</v>
      </c>
      <c r="B65" s="4">
        <v>70243.33</v>
      </c>
      <c r="C65" s="4">
        <v>71369.97</v>
      </c>
      <c r="D65" s="4">
        <v>68291.03</v>
      </c>
      <c r="E65" s="4">
        <v>70120.78</v>
      </c>
      <c r="F65" s="4">
        <v>52081598792</v>
      </c>
      <c r="G65" s="4">
        <f t="shared" si="0"/>
        <v>-0.2048680753487519</v>
      </c>
      <c r="H65" s="4">
        <f t="shared" si="1"/>
        <v>3078.9400000000023</v>
      </c>
      <c r="I65" s="4">
        <f t="shared" si="2"/>
        <v>70225.459999999992</v>
      </c>
      <c r="J65" s="4" t="str">
        <f t="shared" si="3"/>
        <v>Normal</v>
      </c>
      <c r="K65" s="4" t="str">
        <f t="shared" si="4"/>
        <v>High Volume</v>
      </c>
      <c r="L65" s="4" t="str">
        <f t="shared" si="5"/>
        <v>SELL</v>
      </c>
      <c r="M65" s="4" t="str">
        <f t="shared" si="6"/>
        <v>NORMAL</v>
      </c>
      <c r="N65" s="4" t="str">
        <f t="shared" si="7"/>
        <v>STRONG DOWNTREND</v>
      </c>
    </row>
    <row r="66" spans="1:14" x14ac:dyDescent="0.25">
      <c r="A66" s="3">
        <v>46061</v>
      </c>
      <c r="B66" s="4">
        <v>69283.73</v>
      </c>
      <c r="C66" s="4">
        <v>72206.91</v>
      </c>
      <c r="D66" s="4">
        <v>68852.899999999994</v>
      </c>
      <c r="E66" s="4">
        <v>70264.73</v>
      </c>
      <c r="F66" s="4">
        <v>39721722619</v>
      </c>
      <c r="G66" s="4">
        <f t="shared" si="0"/>
        <v>1.4184931519701227</v>
      </c>
      <c r="H66" s="4">
        <f t="shared" si="1"/>
        <v>3354.0100000000093</v>
      </c>
      <c r="I66" s="4">
        <f t="shared" si="2"/>
        <v>71449.458571428579</v>
      </c>
      <c r="J66" s="4" t="str">
        <f t="shared" si="3"/>
        <v>Normal</v>
      </c>
      <c r="K66" s="4" t="str">
        <f t="shared" si="4"/>
        <v>Low Volume</v>
      </c>
      <c r="L66" s="4" t="str">
        <f t="shared" si="5"/>
        <v>HOLD</v>
      </c>
      <c r="M66" s="4" t="str">
        <f t="shared" si="6"/>
        <v>NORMAL</v>
      </c>
      <c r="N66" s="4" t="str">
        <f t="shared" si="7"/>
        <v>SIDEWAYS</v>
      </c>
    </row>
    <row r="67" spans="1:14" x14ac:dyDescent="0.25">
      <c r="A67" s="3">
        <v>46060</v>
      </c>
      <c r="B67" s="4">
        <v>70553.8</v>
      </c>
      <c r="C67" s="4">
        <v>71611.149999999994</v>
      </c>
      <c r="D67" s="4">
        <v>67364.45</v>
      </c>
      <c r="E67" s="4">
        <v>69281.97</v>
      </c>
      <c r="F67" s="4">
        <v>62347107663</v>
      </c>
      <c r="G67" s="4">
        <f t="shared" ref="G67:G104" si="8">(E67-E68)/E68*100</f>
        <v>-1.8048514791003185</v>
      </c>
      <c r="H67" s="4">
        <f t="shared" ref="H67:H104" si="9">(C67-D67)</f>
        <v>4246.6999999999971</v>
      </c>
      <c r="I67" s="4">
        <f t="shared" ref="I67:I104" si="10">AVERAGE(E67:E73)</f>
        <v>72407.990000000005</v>
      </c>
      <c r="J67" s="4" t="str">
        <f t="shared" ref="J67:J104" si="11">IF(G67&lt;-5,"Crash","Normal")</f>
        <v>Normal</v>
      </c>
      <c r="K67" s="4" t="str">
        <f t="shared" ref="K67:K104" si="12">IF(F67&gt;AVERAGE(F:F),"High Volume","Low Volume")</f>
        <v>High Volume</v>
      </c>
      <c r="L67" s="4" t="str">
        <f t="shared" ref="L67:L104" si="13">IF(AND(E67&gt;I67,F67&gt;AVERAGE(F:F)),"BUY",
IF(AND(E67&lt;I67,F67&gt;AVERAGE(F:F)),"SELL","HOLD"))</f>
        <v>SELL</v>
      </c>
      <c r="M67" s="4" t="str">
        <f t="shared" ref="M67:M104" si="14">IF(AND(G67&lt;-5,F67&gt;AVERAGE(F:F)),"REAL CRASH",
IF(G67&lt;-5,"FAKE DIP","NORMAL"))</f>
        <v>NORMAL</v>
      </c>
      <c r="N67" s="4" t="str">
        <f t="shared" ref="N67:N104" si="15">IF(AND(E67&gt;I67,G67&gt;0),"STRONG UPTREND",
IF(AND(E67&lt;I67,G67&lt;0),"STRONG DOWNTREND","SIDEWAYS"))</f>
        <v>STRONG DOWNTREND</v>
      </c>
    </row>
    <row r="68" spans="1:14" x14ac:dyDescent="0.25">
      <c r="A68" s="3">
        <v>46059</v>
      </c>
      <c r="B68" s="4">
        <v>62704.45</v>
      </c>
      <c r="C68" s="4">
        <v>71681.3</v>
      </c>
      <c r="D68" s="4">
        <v>60074.2</v>
      </c>
      <c r="E68" s="4">
        <v>70555.39</v>
      </c>
      <c r="F68" s="4">
        <v>114674259489</v>
      </c>
      <c r="G68" s="4">
        <f t="shared" si="8"/>
        <v>12.524763923377369</v>
      </c>
      <c r="H68" s="4">
        <f t="shared" si="9"/>
        <v>11607.100000000006</v>
      </c>
      <c r="I68" s="4">
        <f t="shared" si="10"/>
        <v>73742.154285714292</v>
      </c>
      <c r="J68" s="4" t="str">
        <f t="shared" si="11"/>
        <v>Normal</v>
      </c>
      <c r="K68" s="4" t="str">
        <f t="shared" si="12"/>
        <v>High Volume</v>
      </c>
      <c r="L68" s="4" t="str">
        <f t="shared" si="13"/>
        <v>SELL</v>
      </c>
      <c r="M68" s="4" t="str">
        <f t="shared" si="14"/>
        <v>NORMAL</v>
      </c>
      <c r="N68" s="4" t="str">
        <f t="shared" si="15"/>
        <v>SIDEWAYS</v>
      </c>
    </row>
    <row r="69" spans="1:14" x14ac:dyDescent="0.25">
      <c r="A69" s="3">
        <v>46058</v>
      </c>
      <c r="B69" s="4">
        <v>73016.38</v>
      </c>
      <c r="C69" s="4">
        <v>73161.55</v>
      </c>
      <c r="D69" s="4">
        <v>62353.54</v>
      </c>
      <c r="E69" s="4">
        <v>62702.1</v>
      </c>
      <c r="F69" s="4">
        <v>125509410908</v>
      </c>
      <c r="G69" s="4">
        <f t="shared" si="8"/>
        <v>-14.129885496653641</v>
      </c>
      <c r="H69" s="4">
        <f t="shared" si="9"/>
        <v>10808.010000000002</v>
      </c>
      <c r="I69" s="4">
        <f t="shared" si="10"/>
        <v>75681.192857142858</v>
      </c>
      <c r="J69" s="4" t="str">
        <f t="shared" si="11"/>
        <v>Crash</v>
      </c>
      <c r="K69" s="4" t="str">
        <f t="shared" si="12"/>
        <v>High Volume</v>
      </c>
      <c r="L69" s="4" t="str">
        <f t="shared" si="13"/>
        <v>SELL</v>
      </c>
      <c r="M69" s="4" t="str">
        <f t="shared" si="14"/>
        <v>REAL CRASH</v>
      </c>
      <c r="N69" s="4" t="str">
        <f t="shared" si="15"/>
        <v>STRONG DOWNTREND</v>
      </c>
    </row>
    <row r="70" spans="1:14" x14ac:dyDescent="0.25">
      <c r="A70" s="3">
        <v>46057</v>
      </c>
      <c r="B70" s="4">
        <v>75640.09</v>
      </c>
      <c r="C70" s="4">
        <v>76864.66</v>
      </c>
      <c r="D70" s="4">
        <v>71779.929999999993</v>
      </c>
      <c r="E70" s="4">
        <v>73019.7</v>
      </c>
      <c r="F70" s="4">
        <v>67215363944</v>
      </c>
      <c r="G70" s="4">
        <f t="shared" si="8"/>
        <v>-3.455939857378115</v>
      </c>
      <c r="H70" s="4">
        <f t="shared" si="9"/>
        <v>5084.7300000000105</v>
      </c>
      <c r="I70" s="4">
        <f t="shared" si="10"/>
        <v>78803.97714285714</v>
      </c>
      <c r="J70" s="4" t="str">
        <f t="shared" si="11"/>
        <v>Normal</v>
      </c>
      <c r="K70" s="4" t="str">
        <f t="shared" si="12"/>
        <v>High Volume</v>
      </c>
      <c r="L70" s="4" t="str">
        <f t="shared" si="13"/>
        <v>SELL</v>
      </c>
      <c r="M70" s="4" t="str">
        <f t="shared" si="14"/>
        <v>NORMAL</v>
      </c>
      <c r="N70" s="4" t="str">
        <f t="shared" si="15"/>
        <v>STRONG DOWNTREND</v>
      </c>
    </row>
    <row r="71" spans="1:14" x14ac:dyDescent="0.25">
      <c r="A71" s="3">
        <v>46056</v>
      </c>
      <c r="B71" s="4">
        <v>78693.509999999995</v>
      </c>
      <c r="C71" s="4">
        <v>79118.850000000006</v>
      </c>
      <c r="D71" s="4">
        <v>72897.14</v>
      </c>
      <c r="E71" s="4">
        <v>75633.55</v>
      </c>
      <c r="F71" s="4">
        <v>68249110822</v>
      </c>
      <c r="G71" s="4">
        <f t="shared" si="8"/>
        <v>-3.8826633076104775</v>
      </c>
      <c r="H71" s="4">
        <f t="shared" si="9"/>
        <v>6221.7100000000064</v>
      </c>
      <c r="I71" s="4">
        <f t="shared" si="10"/>
        <v>81113.244285714274</v>
      </c>
      <c r="J71" s="4" t="str">
        <f t="shared" si="11"/>
        <v>Normal</v>
      </c>
      <c r="K71" s="4" t="str">
        <f t="shared" si="12"/>
        <v>High Volume</v>
      </c>
      <c r="L71" s="4" t="str">
        <f t="shared" si="13"/>
        <v>SELL</v>
      </c>
      <c r="M71" s="4" t="str">
        <f t="shared" si="14"/>
        <v>NORMAL</v>
      </c>
      <c r="N71" s="4" t="str">
        <f t="shared" si="15"/>
        <v>STRONG DOWNTREND</v>
      </c>
    </row>
    <row r="72" spans="1:14" x14ac:dyDescent="0.25">
      <c r="A72" s="3">
        <v>46055</v>
      </c>
      <c r="B72" s="4">
        <v>76968.88</v>
      </c>
      <c r="C72" s="4">
        <v>79258.61</v>
      </c>
      <c r="D72" s="4">
        <v>74551.34</v>
      </c>
      <c r="E72" s="4">
        <v>78688.77</v>
      </c>
      <c r="F72" s="4">
        <v>75140589684</v>
      </c>
      <c r="G72" s="4">
        <f t="shared" si="8"/>
        <v>2.2271286121563807</v>
      </c>
      <c r="H72" s="4">
        <f t="shared" si="9"/>
        <v>4707.2700000000041</v>
      </c>
      <c r="I72" s="4">
        <f t="shared" si="10"/>
        <v>83037.39</v>
      </c>
      <c r="J72" s="4" t="str">
        <f t="shared" si="11"/>
        <v>Normal</v>
      </c>
      <c r="K72" s="4" t="str">
        <f t="shared" si="12"/>
        <v>High Volume</v>
      </c>
      <c r="L72" s="4" t="str">
        <f t="shared" si="13"/>
        <v>SELL</v>
      </c>
      <c r="M72" s="4" t="str">
        <f t="shared" si="14"/>
        <v>NORMAL</v>
      </c>
      <c r="N72" s="4" t="str">
        <f t="shared" si="15"/>
        <v>SIDEWAYS</v>
      </c>
    </row>
    <row r="73" spans="1:14" x14ac:dyDescent="0.25">
      <c r="A73" s="3">
        <v>46054</v>
      </c>
      <c r="B73" s="4">
        <v>78626.13</v>
      </c>
      <c r="C73" s="4">
        <v>79322.61</v>
      </c>
      <c r="D73" s="4">
        <v>75698.899999999994</v>
      </c>
      <c r="E73" s="4">
        <v>76974.45</v>
      </c>
      <c r="F73" s="4">
        <v>53372509744</v>
      </c>
      <c r="G73" s="4">
        <f t="shared" si="8"/>
        <v>-2.0944372199225838</v>
      </c>
      <c r="H73" s="4">
        <f t="shared" si="9"/>
        <v>3623.7100000000064</v>
      </c>
      <c r="I73" s="4">
        <f t="shared" si="10"/>
        <v>84405.728571428568</v>
      </c>
      <c r="J73" s="4" t="str">
        <f t="shared" si="11"/>
        <v>Normal</v>
      </c>
      <c r="K73" s="4" t="str">
        <f t="shared" si="12"/>
        <v>High Volume</v>
      </c>
      <c r="L73" s="4" t="str">
        <f t="shared" si="13"/>
        <v>SELL</v>
      </c>
      <c r="M73" s="4" t="str">
        <f t="shared" si="14"/>
        <v>NORMAL</v>
      </c>
      <c r="N73" s="4" t="str">
        <f t="shared" si="15"/>
        <v>STRONG DOWNTREND</v>
      </c>
    </row>
    <row r="74" spans="1:14" x14ac:dyDescent="0.25">
      <c r="A74" s="3">
        <v>46053</v>
      </c>
      <c r="B74" s="4">
        <v>84126.5</v>
      </c>
      <c r="C74" s="4">
        <v>84136.92</v>
      </c>
      <c r="D74" s="4">
        <v>75815.88</v>
      </c>
      <c r="E74" s="4">
        <v>78621.119999999995</v>
      </c>
      <c r="F74" s="4">
        <v>70479259159</v>
      </c>
      <c r="G74" s="4">
        <f t="shared" si="8"/>
        <v>-6.5465680779891278</v>
      </c>
      <c r="H74" s="4">
        <f t="shared" si="9"/>
        <v>8321.0399999999936</v>
      </c>
      <c r="I74" s="4">
        <f t="shared" si="10"/>
        <v>85776.838571428569</v>
      </c>
      <c r="J74" s="4" t="str">
        <f t="shared" si="11"/>
        <v>Crash</v>
      </c>
      <c r="K74" s="4" t="str">
        <f t="shared" si="12"/>
        <v>High Volume</v>
      </c>
      <c r="L74" s="4" t="str">
        <f t="shared" si="13"/>
        <v>SELL</v>
      </c>
      <c r="M74" s="4" t="str">
        <f t="shared" si="14"/>
        <v>REAL CRASH</v>
      </c>
      <c r="N74" s="4" t="str">
        <f t="shared" si="15"/>
        <v>STRONG DOWNTREND</v>
      </c>
    </row>
    <row r="75" spans="1:14" x14ac:dyDescent="0.25">
      <c r="A75" s="3">
        <v>46052</v>
      </c>
      <c r="B75" s="4">
        <v>84562.73</v>
      </c>
      <c r="C75" s="4">
        <v>84602.16</v>
      </c>
      <c r="D75" s="4">
        <v>81071.48</v>
      </c>
      <c r="E75" s="4">
        <v>84128.66</v>
      </c>
      <c r="F75" s="4">
        <v>72083816087</v>
      </c>
      <c r="G75" s="4">
        <f t="shared" si="8"/>
        <v>-0.51197003272998176</v>
      </c>
      <c r="H75" s="4">
        <f t="shared" si="9"/>
        <v>3530.6800000000076</v>
      </c>
      <c r="I75" s="4">
        <f t="shared" si="10"/>
        <v>87275.354285714289</v>
      </c>
      <c r="J75" s="4" t="str">
        <f t="shared" si="11"/>
        <v>Normal</v>
      </c>
      <c r="K75" s="4" t="str">
        <f t="shared" si="12"/>
        <v>High Volume</v>
      </c>
      <c r="L75" s="4" t="str">
        <f t="shared" si="13"/>
        <v>SELL</v>
      </c>
      <c r="M75" s="4" t="str">
        <f t="shared" si="14"/>
        <v>NORMAL</v>
      </c>
      <c r="N75" s="4" t="str">
        <f t="shared" si="15"/>
        <v>STRONG DOWNTREND</v>
      </c>
    </row>
    <row r="76" spans="1:14" x14ac:dyDescent="0.25">
      <c r="A76" s="3">
        <v>46051</v>
      </c>
      <c r="B76" s="4">
        <v>89169.85</v>
      </c>
      <c r="C76" s="4">
        <v>89200.78</v>
      </c>
      <c r="D76" s="4">
        <v>83250.600000000006</v>
      </c>
      <c r="E76" s="4">
        <v>84561.59</v>
      </c>
      <c r="F76" s="4">
        <v>64653083162</v>
      </c>
      <c r="G76" s="4">
        <f t="shared" si="8"/>
        <v>-5.1836096759787145</v>
      </c>
      <c r="H76" s="4">
        <f t="shared" si="9"/>
        <v>5950.179999999993</v>
      </c>
      <c r="I76" s="4">
        <f t="shared" si="10"/>
        <v>88043.242857142846</v>
      </c>
      <c r="J76" s="4" t="str">
        <f t="shared" si="11"/>
        <v>Crash</v>
      </c>
      <c r="K76" s="4" t="str">
        <f t="shared" si="12"/>
        <v>High Volume</v>
      </c>
      <c r="L76" s="4" t="str">
        <f t="shared" si="13"/>
        <v>SELL</v>
      </c>
      <c r="M76" s="4" t="str">
        <f t="shared" si="14"/>
        <v>REAL CRASH</v>
      </c>
      <c r="N76" s="4" t="str">
        <f t="shared" si="15"/>
        <v>STRONG DOWNTREND</v>
      </c>
    </row>
    <row r="77" spans="1:14" x14ac:dyDescent="0.25">
      <c r="A77" s="3">
        <v>46050</v>
      </c>
      <c r="B77" s="4">
        <v>89104.05</v>
      </c>
      <c r="C77" s="4">
        <v>90439.29</v>
      </c>
      <c r="D77" s="4">
        <v>88721.46</v>
      </c>
      <c r="E77" s="4">
        <v>89184.57</v>
      </c>
      <c r="F77" s="4">
        <v>39807419296</v>
      </c>
      <c r="G77" s="4">
        <f t="shared" si="8"/>
        <v>9.2028770887304365E-2</v>
      </c>
      <c r="H77" s="4">
        <f t="shared" si="9"/>
        <v>1717.8299999999872</v>
      </c>
      <c r="I77" s="4">
        <f t="shared" si="10"/>
        <v>88743.365714285712</v>
      </c>
      <c r="J77" s="4" t="str">
        <f t="shared" si="11"/>
        <v>Normal</v>
      </c>
      <c r="K77" s="4" t="str">
        <f t="shared" si="12"/>
        <v>Low Volume</v>
      </c>
      <c r="L77" s="4" t="str">
        <f t="shared" si="13"/>
        <v>HOLD</v>
      </c>
      <c r="M77" s="4" t="str">
        <f t="shared" si="14"/>
        <v>NORMAL</v>
      </c>
      <c r="N77" s="4" t="str">
        <f t="shared" si="15"/>
        <v>STRONG UPTREND</v>
      </c>
    </row>
    <row r="78" spans="1:14" x14ac:dyDescent="0.25">
      <c r="A78" s="3">
        <v>46049</v>
      </c>
      <c r="B78" s="4">
        <v>88257.48</v>
      </c>
      <c r="C78" s="4">
        <v>89427.13</v>
      </c>
      <c r="D78" s="4">
        <v>87228.92</v>
      </c>
      <c r="E78" s="4">
        <v>89102.57</v>
      </c>
      <c r="F78" s="4">
        <v>38744942267</v>
      </c>
      <c r="G78" s="4">
        <f t="shared" si="8"/>
        <v>0.9464790634430974</v>
      </c>
      <c r="H78" s="4">
        <f t="shared" si="9"/>
        <v>2198.2100000000064</v>
      </c>
      <c r="I78" s="4">
        <f t="shared" si="10"/>
        <v>88770.849999999991</v>
      </c>
      <c r="J78" s="4" t="str">
        <f t="shared" si="11"/>
        <v>Normal</v>
      </c>
      <c r="K78" s="4" t="str">
        <f t="shared" si="12"/>
        <v>Low Volume</v>
      </c>
      <c r="L78" s="4" t="str">
        <f t="shared" si="13"/>
        <v>HOLD</v>
      </c>
      <c r="M78" s="4" t="str">
        <f t="shared" si="14"/>
        <v>NORMAL</v>
      </c>
      <c r="N78" s="4" t="str">
        <f t="shared" si="15"/>
        <v>STRONG UPTREND</v>
      </c>
    </row>
    <row r="79" spans="1:14" x14ac:dyDescent="0.25">
      <c r="A79" s="3">
        <v>46048</v>
      </c>
      <c r="B79" s="4">
        <v>86566.52</v>
      </c>
      <c r="C79" s="4">
        <v>88743.07</v>
      </c>
      <c r="D79" s="4">
        <v>86429.29</v>
      </c>
      <c r="E79" s="4">
        <v>88267.14</v>
      </c>
      <c r="F79" s="4">
        <v>45329286974</v>
      </c>
      <c r="G79" s="4">
        <f t="shared" si="8"/>
        <v>1.9578104847028277</v>
      </c>
      <c r="H79" s="4">
        <f t="shared" si="9"/>
        <v>2313.7800000000134</v>
      </c>
      <c r="I79" s="4">
        <f t="shared" si="10"/>
        <v>88657.755714285726</v>
      </c>
      <c r="J79" s="4" t="str">
        <f t="shared" si="11"/>
        <v>Normal</v>
      </c>
      <c r="K79" s="4" t="str">
        <f t="shared" si="12"/>
        <v>High Volume</v>
      </c>
      <c r="L79" s="4" t="str">
        <f t="shared" si="13"/>
        <v>SELL</v>
      </c>
      <c r="M79" s="4" t="str">
        <f t="shared" si="14"/>
        <v>NORMAL</v>
      </c>
      <c r="N79" s="4" t="str">
        <f t="shared" si="15"/>
        <v>SIDEWAYS</v>
      </c>
    </row>
    <row r="80" spans="1:14" x14ac:dyDescent="0.25">
      <c r="A80" s="3">
        <v>46047</v>
      </c>
      <c r="B80" s="4">
        <v>89104.77</v>
      </c>
      <c r="C80" s="4">
        <v>89193.15</v>
      </c>
      <c r="D80" s="4">
        <v>86003.71</v>
      </c>
      <c r="E80" s="4">
        <v>86572.22</v>
      </c>
      <c r="F80" s="4">
        <v>36124986722</v>
      </c>
      <c r="G80" s="4">
        <f t="shared" si="8"/>
        <v>-2.8487141784159942</v>
      </c>
      <c r="H80" s="4">
        <f t="shared" si="9"/>
        <v>3189.4399999999878</v>
      </c>
      <c r="I80" s="4">
        <f t="shared" si="10"/>
        <v>89270.105714285717</v>
      </c>
      <c r="J80" s="4" t="str">
        <f t="shared" si="11"/>
        <v>Normal</v>
      </c>
      <c r="K80" s="4" t="str">
        <f t="shared" si="12"/>
        <v>Low Volume</v>
      </c>
      <c r="L80" s="4" t="str">
        <f t="shared" si="13"/>
        <v>HOLD</v>
      </c>
      <c r="M80" s="4" t="str">
        <f t="shared" si="14"/>
        <v>NORMAL</v>
      </c>
      <c r="N80" s="4" t="str">
        <f t="shared" si="15"/>
        <v>STRONG DOWNTREND</v>
      </c>
    </row>
    <row r="81" spans="1:14" x14ac:dyDescent="0.25">
      <c r="A81" s="3">
        <v>46046</v>
      </c>
      <c r="B81" s="4">
        <v>89506.15</v>
      </c>
      <c r="C81" s="4">
        <v>89811.61</v>
      </c>
      <c r="D81" s="4">
        <v>89044.29</v>
      </c>
      <c r="E81" s="4">
        <v>89110.73</v>
      </c>
      <c r="F81" s="4">
        <v>14558687712</v>
      </c>
      <c r="G81" s="4">
        <f t="shared" si="8"/>
        <v>-0.4392547004666264</v>
      </c>
      <c r="H81" s="4">
        <f t="shared" si="9"/>
        <v>767.32000000000698</v>
      </c>
      <c r="I81" s="4">
        <f t="shared" si="10"/>
        <v>90278.992857142846</v>
      </c>
      <c r="J81" s="4" t="str">
        <f t="shared" si="11"/>
        <v>Normal</v>
      </c>
      <c r="K81" s="4" t="str">
        <f t="shared" si="12"/>
        <v>Low Volume</v>
      </c>
      <c r="L81" s="4" t="str">
        <f t="shared" si="13"/>
        <v>HOLD</v>
      </c>
      <c r="M81" s="4" t="str">
        <f t="shared" si="14"/>
        <v>NORMAL</v>
      </c>
      <c r="N81" s="4" t="str">
        <f t="shared" si="15"/>
        <v>STRONG DOWNTREND</v>
      </c>
    </row>
    <row r="82" spans="1:14" x14ac:dyDescent="0.25">
      <c r="A82" s="3">
        <v>46045</v>
      </c>
      <c r="B82" s="4">
        <v>89462.05</v>
      </c>
      <c r="C82" s="4">
        <v>91100.25</v>
      </c>
      <c r="D82" s="4">
        <v>88486.36</v>
      </c>
      <c r="E82" s="4">
        <v>89503.88</v>
      </c>
      <c r="F82" s="4">
        <v>38997586037</v>
      </c>
      <c r="G82" s="4">
        <f t="shared" si="8"/>
        <v>4.6309932267680536E-2</v>
      </c>
      <c r="H82" s="4">
        <f t="shared" si="9"/>
        <v>2613.8899999999994</v>
      </c>
      <c r="I82" s="4">
        <f t="shared" si="10"/>
        <v>91134.591428571424</v>
      </c>
      <c r="J82" s="4" t="str">
        <f t="shared" si="11"/>
        <v>Normal</v>
      </c>
      <c r="K82" s="4" t="str">
        <f t="shared" si="12"/>
        <v>Low Volume</v>
      </c>
      <c r="L82" s="4" t="str">
        <f t="shared" si="13"/>
        <v>HOLD</v>
      </c>
      <c r="M82" s="4" t="str">
        <f t="shared" si="14"/>
        <v>NORMAL</v>
      </c>
      <c r="N82" s="4" t="str">
        <f t="shared" si="15"/>
        <v>SIDEWAYS</v>
      </c>
    </row>
    <row r="83" spans="1:14" x14ac:dyDescent="0.25">
      <c r="A83" s="3">
        <v>46044</v>
      </c>
      <c r="B83" s="4">
        <v>89378.52</v>
      </c>
      <c r="C83" s="4">
        <v>90258.96</v>
      </c>
      <c r="D83" s="4">
        <v>88438.45</v>
      </c>
      <c r="E83" s="4">
        <v>89462.45</v>
      </c>
      <c r="F83" s="4">
        <v>35549685694</v>
      </c>
      <c r="G83" s="4">
        <f t="shared" si="8"/>
        <v>9.5651049218938175E-2</v>
      </c>
      <c r="H83" s="4">
        <f t="shared" si="9"/>
        <v>1820.5100000000093</v>
      </c>
      <c r="I83" s="4">
        <f t="shared" si="10"/>
        <v>91994.768571428576</v>
      </c>
      <c r="J83" s="4" t="str">
        <f t="shared" si="11"/>
        <v>Normal</v>
      </c>
      <c r="K83" s="4" t="str">
        <f t="shared" si="12"/>
        <v>Low Volume</v>
      </c>
      <c r="L83" s="4" t="str">
        <f t="shared" si="13"/>
        <v>HOLD</v>
      </c>
      <c r="M83" s="4" t="str">
        <f t="shared" si="14"/>
        <v>NORMAL</v>
      </c>
      <c r="N83" s="4" t="str">
        <f t="shared" si="15"/>
        <v>SIDEWAYS</v>
      </c>
    </row>
    <row r="84" spans="1:14" x14ac:dyDescent="0.25">
      <c r="A84" s="3">
        <v>46043</v>
      </c>
      <c r="B84" s="4">
        <v>88326.51</v>
      </c>
      <c r="C84" s="4">
        <v>90430.41</v>
      </c>
      <c r="D84" s="4">
        <v>87231.57</v>
      </c>
      <c r="E84" s="4">
        <v>89376.960000000006</v>
      </c>
      <c r="F84" s="4">
        <v>56330422434</v>
      </c>
      <c r="G84" s="4">
        <f t="shared" si="8"/>
        <v>1.2071554918865663</v>
      </c>
      <c r="H84" s="4">
        <f t="shared" si="9"/>
        <v>3198.8399999999965</v>
      </c>
      <c r="I84" s="4">
        <f t="shared" si="10"/>
        <v>92864.588571428554</v>
      </c>
      <c r="J84" s="4" t="str">
        <f t="shared" si="11"/>
        <v>Normal</v>
      </c>
      <c r="K84" s="4" t="str">
        <f t="shared" si="12"/>
        <v>High Volume</v>
      </c>
      <c r="L84" s="4" t="str">
        <f t="shared" si="13"/>
        <v>SELL</v>
      </c>
      <c r="M84" s="4" t="str">
        <f t="shared" si="14"/>
        <v>NORMAL</v>
      </c>
      <c r="N84" s="4" t="str">
        <f t="shared" si="15"/>
        <v>SIDEWAYS</v>
      </c>
    </row>
    <row r="85" spans="1:14" x14ac:dyDescent="0.25">
      <c r="A85" s="3">
        <v>46042</v>
      </c>
      <c r="B85" s="4">
        <v>92553.600000000006</v>
      </c>
      <c r="C85" s="4">
        <v>92798.43</v>
      </c>
      <c r="D85" s="4">
        <v>87814.93</v>
      </c>
      <c r="E85" s="4">
        <v>88310.91</v>
      </c>
      <c r="F85" s="4">
        <v>53072968031</v>
      </c>
      <c r="G85" s="4">
        <f t="shared" si="8"/>
        <v>-4.5840253198174086</v>
      </c>
      <c r="H85" s="4">
        <f t="shared" si="9"/>
        <v>4983.5</v>
      </c>
      <c r="I85" s="4">
        <f t="shared" si="10"/>
        <v>93943.498571428558</v>
      </c>
      <c r="J85" s="4" t="str">
        <f t="shared" si="11"/>
        <v>Normal</v>
      </c>
      <c r="K85" s="4" t="str">
        <f t="shared" si="12"/>
        <v>High Volume</v>
      </c>
      <c r="L85" s="4" t="str">
        <f t="shared" si="13"/>
        <v>SELL</v>
      </c>
      <c r="M85" s="4" t="str">
        <f t="shared" si="14"/>
        <v>NORMAL</v>
      </c>
      <c r="N85" s="4" t="str">
        <f t="shared" si="15"/>
        <v>STRONG DOWNTREND</v>
      </c>
    </row>
    <row r="86" spans="1:14" x14ac:dyDescent="0.25">
      <c r="A86" s="3">
        <v>46041</v>
      </c>
      <c r="B86" s="4">
        <v>93655.67</v>
      </c>
      <c r="C86" s="4">
        <v>93660.83</v>
      </c>
      <c r="D86" s="4">
        <v>92089.25</v>
      </c>
      <c r="E86" s="4">
        <v>92553.59</v>
      </c>
      <c r="F86" s="4">
        <v>39195241508</v>
      </c>
      <c r="G86" s="4">
        <f t="shared" si="8"/>
        <v>-1.1543189828784097</v>
      </c>
      <c r="H86" s="4">
        <f t="shared" si="9"/>
        <v>1571.5800000000017</v>
      </c>
      <c r="I86" s="4">
        <f t="shared" si="10"/>
        <v>94945.051428571431</v>
      </c>
      <c r="J86" s="4" t="str">
        <f t="shared" si="11"/>
        <v>Normal</v>
      </c>
      <c r="K86" s="4" t="str">
        <f t="shared" si="12"/>
        <v>Low Volume</v>
      </c>
      <c r="L86" s="4" t="str">
        <f t="shared" si="13"/>
        <v>HOLD</v>
      </c>
      <c r="M86" s="4" t="str">
        <f t="shared" si="14"/>
        <v>NORMAL</v>
      </c>
      <c r="N86" s="4" t="str">
        <f t="shared" si="15"/>
        <v>STRONG DOWNTREND</v>
      </c>
    </row>
    <row r="87" spans="1:14" x14ac:dyDescent="0.25">
      <c r="A87" s="3">
        <v>46040</v>
      </c>
      <c r="B87" s="4">
        <v>95101.18</v>
      </c>
      <c r="C87" s="4">
        <v>95491.51</v>
      </c>
      <c r="D87" s="4">
        <v>93588.87</v>
      </c>
      <c r="E87" s="4">
        <v>93634.43</v>
      </c>
      <c r="F87" s="4">
        <v>20809781232</v>
      </c>
      <c r="G87" s="4">
        <f t="shared" si="8"/>
        <v>-1.5410002447951643</v>
      </c>
      <c r="H87" s="4">
        <f t="shared" si="9"/>
        <v>1902.6399999999994</v>
      </c>
      <c r="I87" s="4">
        <f t="shared" si="10"/>
        <v>94750.680000000008</v>
      </c>
      <c r="J87" s="4" t="str">
        <f t="shared" si="11"/>
        <v>Normal</v>
      </c>
      <c r="K87" s="4" t="str">
        <f t="shared" si="12"/>
        <v>Low Volume</v>
      </c>
      <c r="L87" s="4" t="str">
        <f t="shared" si="13"/>
        <v>HOLD</v>
      </c>
      <c r="M87" s="4" t="str">
        <f t="shared" si="14"/>
        <v>NORMAL</v>
      </c>
      <c r="N87" s="4" t="str">
        <f t="shared" si="15"/>
        <v>STRONG DOWNTREND</v>
      </c>
    </row>
    <row r="88" spans="1:14" x14ac:dyDescent="0.25">
      <c r="A88" s="3">
        <v>46039</v>
      </c>
      <c r="B88" s="4">
        <v>95525.16</v>
      </c>
      <c r="C88" s="4">
        <v>95598.48</v>
      </c>
      <c r="D88" s="4">
        <v>95005.62</v>
      </c>
      <c r="E88" s="4">
        <v>95099.92</v>
      </c>
      <c r="F88" s="4">
        <v>16021715122</v>
      </c>
      <c r="G88" s="4">
        <f t="shared" si="8"/>
        <v>-0.44511851961033611</v>
      </c>
      <c r="H88" s="4">
        <f t="shared" si="9"/>
        <v>592.86000000000058</v>
      </c>
      <c r="I88" s="4">
        <f t="shared" si="10"/>
        <v>94349.684285714276</v>
      </c>
      <c r="J88" s="4" t="str">
        <f t="shared" si="11"/>
        <v>Normal</v>
      </c>
      <c r="K88" s="4" t="str">
        <f t="shared" si="12"/>
        <v>Low Volume</v>
      </c>
      <c r="L88" s="4" t="str">
        <f t="shared" si="13"/>
        <v>HOLD</v>
      </c>
      <c r="M88" s="4" t="str">
        <f t="shared" si="14"/>
        <v>NORMAL</v>
      </c>
      <c r="N88" s="4" t="str">
        <f t="shared" si="15"/>
        <v>SIDEWAYS</v>
      </c>
    </row>
    <row r="89" spans="1:14" x14ac:dyDescent="0.25">
      <c r="A89" s="3">
        <v>46038</v>
      </c>
      <c r="B89" s="4">
        <v>95554.1</v>
      </c>
      <c r="C89" s="4">
        <v>95801.89</v>
      </c>
      <c r="D89" s="4">
        <v>94259.27</v>
      </c>
      <c r="E89" s="4">
        <v>95525.119999999995</v>
      </c>
      <c r="F89" s="4">
        <v>33248170537</v>
      </c>
      <c r="G89" s="4">
        <f t="shared" si="8"/>
        <v>-2.7283804628709472E-2</v>
      </c>
      <c r="H89" s="4">
        <f t="shared" si="9"/>
        <v>1542.6199999999953</v>
      </c>
      <c r="I89" s="4">
        <f t="shared" si="10"/>
        <v>93676.36</v>
      </c>
      <c r="J89" s="4" t="str">
        <f t="shared" si="11"/>
        <v>Normal</v>
      </c>
      <c r="K89" s="4" t="str">
        <f t="shared" si="12"/>
        <v>Low Volume</v>
      </c>
      <c r="L89" s="4" t="str">
        <f t="shared" si="13"/>
        <v>HOLD</v>
      </c>
      <c r="M89" s="4" t="str">
        <f t="shared" si="14"/>
        <v>NORMAL</v>
      </c>
      <c r="N89" s="4" t="str">
        <f t="shared" si="15"/>
        <v>SIDEWAYS</v>
      </c>
    </row>
    <row r="90" spans="1:14" x14ac:dyDescent="0.25">
      <c r="A90" s="3">
        <v>46037</v>
      </c>
      <c r="B90" s="4">
        <v>96931.29</v>
      </c>
      <c r="C90" s="4">
        <v>97150.17</v>
      </c>
      <c r="D90" s="4">
        <v>95103.24</v>
      </c>
      <c r="E90" s="4">
        <v>95551.19</v>
      </c>
      <c r="F90" s="4">
        <v>53086363027</v>
      </c>
      <c r="G90" s="4">
        <f t="shared" si="8"/>
        <v>-1.4217987476030212</v>
      </c>
      <c r="H90" s="4">
        <f t="shared" si="9"/>
        <v>2046.929999999993</v>
      </c>
      <c r="I90" s="4">
        <f t="shared" si="10"/>
        <v>92960.357142857145</v>
      </c>
      <c r="J90" s="4" t="str">
        <f t="shared" si="11"/>
        <v>Normal</v>
      </c>
      <c r="K90" s="4" t="str">
        <f t="shared" si="12"/>
        <v>High Volume</v>
      </c>
      <c r="L90" s="4" t="str">
        <f t="shared" si="13"/>
        <v>BUY</v>
      </c>
      <c r="M90" s="4" t="str">
        <f t="shared" si="14"/>
        <v>NORMAL</v>
      </c>
      <c r="N90" s="4" t="str">
        <f t="shared" si="15"/>
        <v>SIDEWAYS</v>
      </c>
    </row>
    <row r="91" spans="1:14" x14ac:dyDescent="0.25">
      <c r="A91" s="3">
        <v>46036</v>
      </c>
      <c r="B91" s="4">
        <v>95322.91</v>
      </c>
      <c r="C91" s="4">
        <v>97860.6</v>
      </c>
      <c r="D91" s="4">
        <v>94583.05</v>
      </c>
      <c r="E91" s="4">
        <v>96929.33</v>
      </c>
      <c r="F91" s="4">
        <v>60592490863</v>
      </c>
      <c r="G91" s="4">
        <f t="shared" si="8"/>
        <v>1.6864456370831546</v>
      </c>
      <c r="H91" s="4">
        <f t="shared" si="9"/>
        <v>3277.5500000000029</v>
      </c>
      <c r="I91" s="4">
        <f t="shared" si="10"/>
        <v>92314.062857142853</v>
      </c>
      <c r="J91" s="4" t="str">
        <f t="shared" si="11"/>
        <v>Normal</v>
      </c>
      <c r="K91" s="4" t="str">
        <f t="shared" si="12"/>
        <v>High Volume</v>
      </c>
      <c r="L91" s="4" t="str">
        <f t="shared" si="13"/>
        <v>BUY</v>
      </c>
      <c r="M91" s="4" t="str">
        <f t="shared" si="14"/>
        <v>NORMAL</v>
      </c>
      <c r="N91" s="4" t="str">
        <f t="shared" si="15"/>
        <v>STRONG UPTREND</v>
      </c>
    </row>
    <row r="92" spans="1:14" x14ac:dyDescent="0.25">
      <c r="A92" s="3">
        <v>46035</v>
      </c>
      <c r="B92" s="4">
        <v>91185.34</v>
      </c>
      <c r="C92" s="4">
        <v>96011.63</v>
      </c>
      <c r="D92" s="4">
        <v>90941.93</v>
      </c>
      <c r="E92" s="4">
        <v>95321.78</v>
      </c>
      <c r="F92" s="4">
        <v>54980674354</v>
      </c>
      <c r="G92" s="4">
        <f t="shared" si="8"/>
        <v>4.5275300217703061</v>
      </c>
      <c r="H92" s="4">
        <f t="shared" si="9"/>
        <v>5069.7000000000116</v>
      </c>
      <c r="I92" s="4">
        <f t="shared" si="10"/>
        <v>91511.02285714286</v>
      </c>
      <c r="J92" s="4" t="str">
        <f t="shared" si="11"/>
        <v>Normal</v>
      </c>
      <c r="K92" s="4" t="str">
        <f t="shared" si="12"/>
        <v>High Volume</v>
      </c>
      <c r="L92" s="4" t="str">
        <f t="shared" si="13"/>
        <v>BUY</v>
      </c>
      <c r="M92" s="4" t="str">
        <f t="shared" si="14"/>
        <v>NORMAL</v>
      </c>
      <c r="N92" s="4" t="str">
        <f t="shared" si="15"/>
        <v>STRONG UPTREND</v>
      </c>
    </row>
    <row r="93" spans="1:14" x14ac:dyDescent="0.25">
      <c r="A93" s="3">
        <v>46034</v>
      </c>
      <c r="B93" s="4">
        <v>90825.86</v>
      </c>
      <c r="C93" s="4">
        <v>92395.520000000004</v>
      </c>
      <c r="D93" s="4">
        <v>90055.02</v>
      </c>
      <c r="E93" s="4">
        <v>91192.99</v>
      </c>
      <c r="F93" s="4">
        <v>41346275358</v>
      </c>
      <c r="G93" s="4">
        <f t="shared" si="8"/>
        <v>0.40244437089840318</v>
      </c>
      <c r="H93" s="4">
        <f t="shared" si="9"/>
        <v>2340.5</v>
      </c>
      <c r="I93" s="4">
        <f t="shared" si="10"/>
        <v>91283.48714285715</v>
      </c>
      <c r="J93" s="4" t="str">
        <f t="shared" si="11"/>
        <v>Normal</v>
      </c>
      <c r="K93" s="4" t="str">
        <f t="shared" si="12"/>
        <v>Low Volume</v>
      </c>
      <c r="L93" s="4" t="str">
        <f t="shared" si="13"/>
        <v>HOLD</v>
      </c>
      <c r="M93" s="4" t="str">
        <f t="shared" si="14"/>
        <v>NORMAL</v>
      </c>
      <c r="N93" s="4" t="str">
        <f t="shared" si="15"/>
        <v>SIDEWAYS</v>
      </c>
    </row>
    <row r="94" spans="1:14" x14ac:dyDescent="0.25">
      <c r="A94" s="3">
        <v>46033</v>
      </c>
      <c r="B94" s="4">
        <v>90385.36</v>
      </c>
      <c r="C94" s="4">
        <v>91155.23</v>
      </c>
      <c r="D94" s="4">
        <v>90212.02</v>
      </c>
      <c r="E94" s="4">
        <v>90827.46</v>
      </c>
      <c r="F94" s="4">
        <v>17165568977</v>
      </c>
      <c r="G94" s="4">
        <f t="shared" si="8"/>
        <v>0.48769370255453903</v>
      </c>
      <c r="H94" s="4">
        <f t="shared" si="9"/>
        <v>943.20999999999185</v>
      </c>
      <c r="I94" s="4">
        <f t="shared" si="10"/>
        <v>91667.709999999992</v>
      </c>
      <c r="J94" s="4" t="str">
        <f t="shared" si="11"/>
        <v>Normal</v>
      </c>
      <c r="K94" s="4" t="str">
        <f t="shared" si="12"/>
        <v>Low Volume</v>
      </c>
      <c r="L94" s="4" t="str">
        <f t="shared" si="13"/>
        <v>HOLD</v>
      </c>
      <c r="M94" s="4" t="str">
        <f t="shared" si="14"/>
        <v>NORMAL</v>
      </c>
      <c r="N94" s="4" t="str">
        <f t="shared" si="15"/>
        <v>SIDEWAYS</v>
      </c>
    </row>
    <row r="95" spans="1:14" x14ac:dyDescent="0.25">
      <c r="A95" s="3">
        <v>46032</v>
      </c>
      <c r="B95" s="4">
        <v>90510.1</v>
      </c>
      <c r="C95" s="4">
        <v>90713.03</v>
      </c>
      <c r="D95" s="4">
        <v>90283.4</v>
      </c>
      <c r="E95" s="4">
        <v>90386.65</v>
      </c>
      <c r="F95" s="4">
        <v>12385895282</v>
      </c>
      <c r="G95" s="4">
        <f t="shared" si="8"/>
        <v>-0.13970353462649235</v>
      </c>
      <c r="H95" s="4">
        <f t="shared" si="9"/>
        <v>429.63000000000466</v>
      </c>
      <c r="I95" s="4">
        <f t="shared" si="10"/>
        <v>91751.428571428565</v>
      </c>
      <c r="J95" s="4" t="str">
        <f t="shared" si="11"/>
        <v>Normal</v>
      </c>
      <c r="K95" s="4" t="str">
        <f t="shared" si="12"/>
        <v>Low Volume</v>
      </c>
      <c r="L95" s="4" t="str">
        <f t="shared" si="13"/>
        <v>HOLD</v>
      </c>
      <c r="M95" s="4" t="str">
        <f t="shared" si="14"/>
        <v>NORMAL</v>
      </c>
      <c r="N95" s="4" t="str">
        <f t="shared" si="15"/>
        <v>STRONG DOWNTREND</v>
      </c>
    </row>
    <row r="96" spans="1:14" x14ac:dyDescent="0.25">
      <c r="A96" s="3">
        <v>46031</v>
      </c>
      <c r="B96" s="4">
        <v>91026.27</v>
      </c>
      <c r="C96" s="4">
        <v>91910.67</v>
      </c>
      <c r="D96" s="4">
        <v>89625.38</v>
      </c>
      <c r="E96" s="4">
        <v>90513.1</v>
      </c>
      <c r="F96" s="4">
        <v>38305906684</v>
      </c>
      <c r="G96" s="4">
        <f t="shared" si="8"/>
        <v>-0.56469977686871897</v>
      </c>
      <c r="H96" s="4">
        <f t="shared" si="9"/>
        <v>2285.2899999999936</v>
      </c>
      <c r="I96" s="4">
        <f t="shared" si="10"/>
        <v>91782.362857142856</v>
      </c>
      <c r="J96" s="4" t="str">
        <f t="shared" si="11"/>
        <v>Normal</v>
      </c>
      <c r="K96" s="4" t="str">
        <f t="shared" si="12"/>
        <v>Low Volume</v>
      </c>
      <c r="L96" s="4" t="str">
        <f t="shared" si="13"/>
        <v>HOLD</v>
      </c>
      <c r="M96" s="4" t="str">
        <f t="shared" si="14"/>
        <v>NORMAL</v>
      </c>
      <c r="N96" s="4" t="str">
        <f t="shared" si="15"/>
        <v>STRONG DOWNTREND</v>
      </c>
    </row>
    <row r="97" spans="1:14" x14ac:dyDescent="0.25">
      <c r="A97" s="3">
        <v>46030</v>
      </c>
      <c r="B97" s="4">
        <v>91309.64</v>
      </c>
      <c r="C97" s="4">
        <v>91485.85</v>
      </c>
      <c r="D97" s="4">
        <v>89233.88</v>
      </c>
      <c r="E97" s="4">
        <v>91027.13</v>
      </c>
      <c r="F97" s="4">
        <v>42386697030</v>
      </c>
      <c r="G97" s="4">
        <f t="shared" si="8"/>
        <v>-0.30766181076038557</v>
      </c>
      <c r="H97" s="4">
        <f t="shared" si="9"/>
        <v>2251.9700000000012</v>
      </c>
      <c r="I97" s="4">
        <f t="shared" si="10"/>
        <v>91701.162857142845</v>
      </c>
      <c r="J97" s="4" t="str">
        <f t="shared" si="11"/>
        <v>Normal</v>
      </c>
      <c r="K97" s="4" t="str">
        <f t="shared" si="12"/>
        <v>Low Volume</v>
      </c>
      <c r="L97" s="4" t="str">
        <f t="shared" si="13"/>
        <v>HOLD</v>
      </c>
      <c r="M97" s="4" t="str">
        <f t="shared" si="14"/>
        <v>NORMAL</v>
      </c>
      <c r="N97" s="4" t="str">
        <f t="shared" si="15"/>
        <v>STRONG DOWNTREND</v>
      </c>
    </row>
    <row r="98" spans="1:14" x14ac:dyDescent="0.25">
      <c r="A98" s="3">
        <v>46029</v>
      </c>
      <c r="B98" s="4">
        <v>93727.47</v>
      </c>
      <c r="C98" s="4">
        <v>93738.79</v>
      </c>
      <c r="D98" s="4">
        <v>90601.8</v>
      </c>
      <c r="E98" s="4">
        <v>91308.05</v>
      </c>
      <c r="F98" s="4">
        <v>43461295053</v>
      </c>
      <c r="G98" s="4">
        <f t="shared" si="8"/>
        <v>-2.5829564223592159</v>
      </c>
      <c r="H98" s="4">
        <f t="shared" si="9"/>
        <v>3136.9899999999907</v>
      </c>
      <c r="I98" s="4">
        <f t="shared" si="10"/>
        <v>91373.284285714282</v>
      </c>
      <c r="J98" s="4" t="str">
        <f t="shared" si="11"/>
        <v>Normal</v>
      </c>
      <c r="K98" s="4" t="str">
        <f t="shared" si="12"/>
        <v>High Volume</v>
      </c>
      <c r="L98" s="4" t="str">
        <f t="shared" si="13"/>
        <v>SELL</v>
      </c>
      <c r="M98" s="4" t="str">
        <f t="shared" si="14"/>
        <v>NORMAL</v>
      </c>
      <c r="N98" s="4" t="str">
        <f t="shared" si="15"/>
        <v>STRONG DOWNTREND</v>
      </c>
    </row>
    <row r="99" spans="1:14" x14ac:dyDescent="0.25">
      <c r="A99" s="3">
        <v>46028</v>
      </c>
      <c r="B99" s="4">
        <v>93876.95</v>
      </c>
      <c r="C99" s="4">
        <v>94395.3</v>
      </c>
      <c r="D99" s="4">
        <v>91286.55</v>
      </c>
      <c r="E99" s="4">
        <v>93729.03</v>
      </c>
      <c r="F99" s="4">
        <v>52430605257</v>
      </c>
      <c r="G99" s="4">
        <f t="shared" si="8"/>
        <v>-0.16352346628846795</v>
      </c>
      <c r="H99" s="4">
        <f t="shared" si="9"/>
        <v>3108.75</v>
      </c>
      <c r="I99" s="4">
        <f t="shared" si="10"/>
        <v>91384.156666666677</v>
      </c>
      <c r="J99" s="4" t="str">
        <f t="shared" si="11"/>
        <v>Normal</v>
      </c>
      <c r="K99" s="4" t="str">
        <f t="shared" si="12"/>
        <v>High Volume</v>
      </c>
      <c r="L99" s="4" t="str">
        <f t="shared" si="13"/>
        <v>BUY</v>
      </c>
      <c r="M99" s="4" t="str">
        <f t="shared" si="14"/>
        <v>NORMAL</v>
      </c>
      <c r="N99" s="4" t="str">
        <f t="shared" si="15"/>
        <v>SIDEWAYS</v>
      </c>
    </row>
    <row r="100" spans="1:14" x14ac:dyDescent="0.25">
      <c r="A100" s="3">
        <v>46027</v>
      </c>
      <c r="B100" s="4">
        <v>91414.63</v>
      </c>
      <c r="C100" s="4">
        <v>94762.07</v>
      </c>
      <c r="D100" s="4">
        <v>91414.63</v>
      </c>
      <c r="E100" s="4">
        <v>93882.55</v>
      </c>
      <c r="F100" s="4">
        <v>53376407252</v>
      </c>
      <c r="G100" s="4">
        <f t="shared" si="8"/>
        <v>2.7009799100767267</v>
      </c>
      <c r="H100" s="4">
        <f t="shared" si="9"/>
        <v>3347.4400000000023</v>
      </c>
      <c r="I100" s="4">
        <f t="shared" si="10"/>
        <v>90915.182000000001</v>
      </c>
      <c r="J100" s="4" t="str">
        <f t="shared" si="11"/>
        <v>Normal</v>
      </c>
      <c r="K100" s="4" t="str">
        <f t="shared" si="12"/>
        <v>High Volume</v>
      </c>
      <c r="L100" s="4" t="str">
        <f t="shared" si="13"/>
        <v>BUY</v>
      </c>
      <c r="M100" s="4" t="str">
        <f t="shared" si="14"/>
        <v>NORMAL</v>
      </c>
      <c r="N100" s="4" t="str">
        <f t="shared" si="15"/>
        <v>STRONG UPTREND</v>
      </c>
    </row>
    <row r="101" spans="1:14" x14ac:dyDescent="0.25">
      <c r="A101" s="3">
        <v>46026</v>
      </c>
      <c r="B101" s="4">
        <v>90603</v>
      </c>
      <c r="C101" s="4">
        <v>91712.59</v>
      </c>
      <c r="D101" s="4">
        <v>90595.1</v>
      </c>
      <c r="E101" s="4">
        <v>91413.49</v>
      </c>
      <c r="F101" s="4">
        <v>26770491368</v>
      </c>
      <c r="G101" s="4">
        <f t="shared" si="8"/>
        <v>0.8943393714945389</v>
      </c>
      <c r="H101" s="4">
        <f t="shared" si="9"/>
        <v>1117.4899999999907</v>
      </c>
      <c r="I101" s="4">
        <f t="shared" si="10"/>
        <v>90173.34</v>
      </c>
      <c r="J101" s="4" t="str">
        <f t="shared" si="11"/>
        <v>Normal</v>
      </c>
      <c r="K101" s="4" t="str">
        <f t="shared" si="12"/>
        <v>Low Volume</v>
      </c>
      <c r="L101" s="4" t="str">
        <f t="shared" si="13"/>
        <v>HOLD</v>
      </c>
      <c r="M101" s="4" t="str">
        <f t="shared" si="14"/>
        <v>NORMAL</v>
      </c>
      <c r="N101" s="4" t="str">
        <f t="shared" si="15"/>
        <v>STRONG UPTREND</v>
      </c>
    </row>
    <row r="102" spans="1:14" x14ac:dyDescent="0.25">
      <c r="A102" s="3">
        <v>46025</v>
      </c>
      <c r="B102" s="4">
        <v>89945.05</v>
      </c>
      <c r="C102" s="4">
        <v>90679.57</v>
      </c>
      <c r="D102" s="4">
        <v>89328.07</v>
      </c>
      <c r="E102" s="4">
        <v>90603.19</v>
      </c>
      <c r="F102" s="4">
        <v>20774828592</v>
      </c>
      <c r="G102" s="4">
        <f t="shared" si="8"/>
        <v>0.73210539364743588</v>
      </c>
      <c r="H102" s="4">
        <f t="shared" si="9"/>
        <v>1351.5</v>
      </c>
      <c r="I102" s="4">
        <f t="shared" si="10"/>
        <v>89759.956666666665</v>
      </c>
      <c r="J102" s="4" t="str">
        <f t="shared" si="11"/>
        <v>Normal</v>
      </c>
      <c r="K102" s="4" t="str">
        <f t="shared" si="12"/>
        <v>Low Volume</v>
      </c>
      <c r="L102" s="4" t="str">
        <f t="shared" si="13"/>
        <v>HOLD</v>
      </c>
      <c r="M102" s="4" t="str">
        <f t="shared" si="14"/>
        <v>NORMAL</v>
      </c>
      <c r="N102" s="4" t="str">
        <f t="shared" si="15"/>
        <v>STRONG UPTREND</v>
      </c>
    </row>
    <row r="103" spans="1:14" x14ac:dyDescent="0.25">
      <c r="A103" s="3">
        <v>46024</v>
      </c>
      <c r="B103" s="4">
        <v>88733.06</v>
      </c>
      <c r="C103" s="4">
        <v>90884.46</v>
      </c>
      <c r="D103" s="4">
        <v>88298.62</v>
      </c>
      <c r="E103" s="4">
        <v>89944.7</v>
      </c>
      <c r="F103" s="4">
        <v>46398906171</v>
      </c>
      <c r="G103" s="4">
        <f t="shared" si="8"/>
        <v>1.3667225728536669</v>
      </c>
      <c r="H103" s="4">
        <f t="shared" si="9"/>
        <v>2585.8400000000111</v>
      </c>
      <c r="I103" s="4">
        <f t="shared" si="10"/>
        <v>89338.34</v>
      </c>
      <c r="J103" s="4" t="str">
        <f t="shared" si="11"/>
        <v>Normal</v>
      </c>
      <c r="K103" s="4" t="str">
        <f t="shared" si="12"/>
        <v>High Volume</v>
      </c>
      <c r="L103" s="4" t="str">
        <f t="shared" si="13"/>
        <v>BUY</v>
      </c>
      <c r="M103" s="4" t="str">
        <f t="shared" si="14"/>
        <v>NORMAL</v>
      </c>
      <c r="N103" s="4" t="str">
        <f t="shared" si="15"/>
        <v>STRONG UPTREND</v>
      </c>
    </row>
    <row r="104" spans="1:14" x14ac:dyDescent="0.25">
      <c r="A104" s="3">
        <v>46023</v>
      </c>
      <c r="B104" s="4">
        <v>87508.05</v>
      </c>
      <c r="C104" s="4">
        <v>88803.23</v>
      </c>
      <c r="D104" s="4">
        <v>87399.41</v>
      </c>
      <c r="E104" s="4">
        <v>88731.98</v>
      </c>
      <c r="F104" s="4">
        <v>18849043990</v>
      </c>
      <c r="G104" s="4" t="e">
        <f t="shared" si="8"/>
        <v>#DIV/0!</v>
      </c>
      <c r="H104" s="4">
        <f t="shared" si="9"/>
        <v>1403.8199999999924</v>
      </c>
      <c r="I104" s="4">
        <f t="shared" si="10"/>
        <v>88731.98</v>
      </c>
      <c r="J104" s="4" t="e">
        <f t="shared" si="11"/>
        <v>#DIV/0!</v>
      </c>
      <c r="K104" s="4" t="str">
        <f t="shared" si="12"/>
        <v>Low Volume</v>
      </c>
      <c r="L104" s="4" t="str">
        <f t="shared" si="13"/>
        <v>HOLD</v>
      </c>
      <c r="M104" s="4" t="e">
        <f t="shared" si="14"/>
        <v>#DIV/0!</v>
      </c>
      <c r="N104" s="4" t="e">
        <f t="shared" si="15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2026-04-12T14:15:23Z</dcterms:created>
  <dcterms:modified xsi:type="dcterms:W3CDTF">2026-04-12T14:47:30Z</dcterms:modified>
</cp:coreProperties>
</file>